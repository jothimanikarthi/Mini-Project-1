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10573e04356a94/Documents/"/>
    </mc:Choice>
  </mc:AlternateContent>
  <xr:revisionPtr revIDLastSave="16" documentId="8_{9767F2A7-C230-4F8B-A220-4D7969F86D70}" xr6:coauthVersionLast="47" xr6:coauthVersionMax="47" xr10:uidLastSave="{888775EE-33FF-46B4-9FA5-9AE4359970BC}"/>
  <bookViews>
    <workbookView xWindow="-120" yWindow="-120" windowWidth="20730" windowHeight="11040" activeTab="3" xr2:uid="{65EE5FCC-524A-4946-B961-C103C6753474}"/>
  </bookViews>
  <sheets>
    <sheet name="Raw Data" sheetId="8" r:id="rId1"/>
    <sheet name="Cleaned Data" sheetId="1" r:id="rId2"/>
    <sheet name="Top 5 Loss" sheetId="9" r:id="rId3"/>
    <sheet name="Payment Method" sheetId="4" r:id="rId4"/>
    <sheet name="Total Spent" sheetId="3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L2" i="1" s="1"/>
  <c r="E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D600" i="1"/>
  <c r="D568" i="1"/>
  <c r="D468" i="1"/>
  <c r="D439" i="1"/>
  <c r="D428" i="1"/>
  <c r="D413" i="1"/>
  <c r="D388" i="1"/>
  <c r="D354" i="1"/>
  <c r="D343" i="1"/>
  <c r="D327" i="1"/>
  <c r="D325" i="1"/>
  <c r="D323" i="1"/>
  <c r="D318" i="1"/>
  <c r="D278" i="1"/>
  <c r="D264" i="1"/>
  <c r="D247" i="1"/>
  <c r="D242" i="1"/>
  <c r="D224" i="1"/>
  <c r="D222" i="1"/>
  <c r="D174" i="1"/>
  <c r="D171" i="1"/>
  <c r="D133" i="1"/>
  <c r="D132" i="1"/>
  <c r="D114" i="1"/>
  <c r="D109" i="1"/>
  <c r="D82" i="1"/>
  <c r="D34" i="1"/>
  <c r="D26" i="1"/>
  <c r="D21" i="1"/>
  <c r="D11" i="1"/>
  <c r="O10" i="1"/>
  <c r="O8" i="1"/>
  <c r="K3" i="1"/>
  <c r="K4" i="1"/>
  <c r="K5" i="1"/>
  <c r="M3" i="1"/>
  <c r="M4" i="1"/>
  <c r="M5" i="1"/>
  <c r="M2" i="1"/>
  <c r="E615" i="1"/>
  <c r="M615" i="1" s="1"/>
  <c r="E616" i="1"/>
  <c r="K616" i="1" s="1"/>
  <c r="E617" i="1"/>
  <c r="K617" i="1" s="1"/>
  <c r="E618" i="1"/>
  <c r="K618" i="1" s="1"/>
  <c r="E12" i="1"/>
  <c r="K12" i="1" s="1"/>
  <c r="E13" i="1"/>
  <c r="K13" i="1" s="1"/>
  <c r="E14" i="1"/>
  <c r="K14" i="1" s="1"/>
  <c r="E15" i="1"/>
  <c r="M15" i="1" s="1"/>
  <c r="E16" i="1"/>
  <c r="K16" i="1" s="1"/>
  <c r="E17" i="1"/>
  <c r="K17" i="1" s="1"/>
  <c r="E18" i="1"/>
  <c r="K18" i="1" s="1"/>
  <c r="E19" i="1"/>
  <c r="K19" i="1" s="1"/>
  <c r="E20" i="1"/>
  <c r="K20" i="1" s="1"/>
  <c r="E21" i="1"/>
  <c r="K21" i="1" s="1"/>
  <c r="E22" i="1"/>
  <c r="K22" i="1" s="1"/>
  <c r="E23" i="1"/>
  <c r="K23" i="1" s="1"/>
  <c r="E24" i="1"/>
  <c r="K24" i="1" s="1"/>
  <c r="E25" i="1"/>
  <c r="K25" i="1" s="1"/>
  <c r="E26" i="1"/>
  <c r="E27" i="1"/>
  <c r="K27" i="1" s="1"/>
  <c r="E28" i="1"/>
  <c r="K28" i="1" s="1"/>
  <c r="E29" i="1"/>
  <c r="K29" i="1" s="1"/>
  <c r="E30" i="1"/>
  <c r="K30" i="1" s="1"/>
  <c r="E31" i="1"/>
  <c r="K31" i="1" s="1"/>
  <c r="E32" i="1"/>
  <c r="K32" i="1" s="1"/>
  <c r="E33" i="1"/>
  <c r="K33" i="1" s="1"/>
  <c r="E34" i="1"/>
  <c r="K34" i="1" s="1"/>
  <c r="E35" i="1"/>
  <c r="K35" i="1" s="1"/>
  <c r="E36" i="1"/>
  <c r="K36" i="1" s="1"/>
  <c r="E37" i="1"/>
  <c r="K37" i="1" s="1"/>
  <c r="E38" i="1"/>
  <c r="K38" i="1" s="1"/>
  <c r="E39" i="1"/>
  <c r="M39" i="1" s="1"/>
  <c r="E40" i="1"/>
  <c r="K40" i="1" s="1"/>
  <c r="E41" i="1"/>
  <c r="K41" i="1" s="1"/>
  <c r="E42" i="1"/>
  <c r="K42" i="1" s="1"/>
  <c r="E43" i="1"/>
  <c r="K43" i="1" s="1"/>
  <c r="E44" i="1"/>
  <c r="K44" i="1" s="1"/>
  <c r="E45" i="1"/>
  <c r="K45" i="1" s="1"/>
  <c r="E46" i="1"/>
  <c r="K46" i="1" s="1"/>
  <c r="E47" i="1"/>
  <c r="K47" i="1" s="1"/>
  <c r="E48" i="1"/>
  <c r="K48" i="1" s="1"/>
  <c r="E49" i="1"/>
  <c r="K49" i="1" s="1"/>
  <c r="E50" i="1"/>
  <c r="K50" i="1" s="1"/>
  <c r="E51" i="1"/>
  <c r="K51" i="1" s="1"/>
  <c r="E52" i="1"/>
  <c r="K52" i="1" s="1"/>
  <c r="E53" i="1"/>
  <c r="K53" i="1" s="1"/>
  <c r="E54" i="1"/>
  <c r="K54" i="1" s="1"/>
  <c r="E55" i="1"/>
  <c r="K55" i="1" s="1"/>
  <c r="E56" i="1"/>
  <c r="K56" i="1" s="1"/>
  <c r="E57" i="1"/>
  <c r="K57" i="1" s="1"/>
  <c r="E58" i="1"/>
  <c r="M58" i="1" s="1"/>
  <c r="E59" i="1"/>
  <c r="K59" i="1" s="1"/>
  <c r="E60" i="1"/>
  <c r="K60" i="1" s="1"/>
  <c r="E61" i="1"/>
  <c r="K61" i="1" s="1"/>
  <c r="E62" i="1"/>
  <c r="K62" i="1" s="1"/>
  <c r="E63" i="1"/>
  <c r="M63" i="1" s="1"/>
  <c r="E64" i="1"/>
  <c r="K64" i="1" s="1"/>
  <c r="E65" i="1"/>
  <c r="K65" i="1" s="1"/>
  <c r="E66" i="1"/>
  <c r="K66" i="1" s="1"/>
  <c r="E67" i="1"/>
  <c r="K67" i="1" s="1"/>
  <c r="E68" i="1"/>
  <c r="K68" i="1" s="1"/>
  <c r="E69" i="1"/>
  <c r="K69" i="1" s="1"/>
  <c r="E70" i="1"/>
  <c r="K70" i="1" s="1"/>
  <c r="E71" i="1"/>
  <c r="K71" i="1" s="1"/>
  <c r="E72" i="1"/>
  <c r="K72" i="1" s="1"/>
  <c r="E73" i="1"/>
  <c r="K73" i="1" s="1"/>
  <c r="E74" i="1"/>
  <c r="E75" i="1"/>
  <c r="K75" i="1" s="1"/>
  <c r="E76" i="1"/>
  <c r="K76" i="1" s="1"/>
  <c r="E77" i="1"/>
  <c r="K77" i="1" s="1"/>
  <c r="E78" i="1"/>
  <c r="K78" i="1" s="1"/>
  <c r="E79" i="1"/>
  <c r="K79" i="1" s="1"/>
  <c r="E80" i="1"/>
  <c r="K80" i="1" s="1"/>
  <c r="E81" i="1"/>
  <c r="K81" i="1" s="1"/>
  <c r="E82" i="1"/>
  <c r="K82" i="1" s="1"/>
  <c r="E83" i="1"/>
  <c r="K83" i="1" s="1"/>
  <c r="E84" i="1"/>
  <c r="K84" i="1" s="1"/>
  <c r="E85" i="1"/>
  <c r="K85" i="1" s="1"/>
  <c r="E86" i="1"/>
  <c r="K86" i="1" s="1"/>
  <c r="E87" i="1"/>
  <c r="E88" i="1"/>
  <c r="K88" i="1" s="1"/>
  <c r="E89" i="1"/>
  <c r="K89" i="1" s="1"/>
  <c r="E90" i="1"/>
  <c r="E91" i="1"/>
  <c r="K91" i="1" s="1"/>
  <c r="E92" i="1"/>
  <c r="K92" i="1" s="1"/>
  <c r="E93" i="1"/>
  <c r="K93" i="1" s="1"/>
  <c r="E94" i="1"/>
  <c r="K94" i="1" s="1"/>
  <c r="E95" i="1"/>
  <c r="K95" i="1" s="1"/>
  <c r="E96" i="1"/>
  <c r="K96" i="1" s="1"/>
  <c r="E97" i="1"/>
  <c r="E98" i="1"/>
  <c r="E99" i="1"/>
  <c r="K99" i="1" s="1"/>
  <c r="E100" i="1"/>
  <c r="K100" i="1" s="1"/>
  <c r="E101" i="1"/>
  <c r="K101" i="1" s="1"/>
  <c r="E102" i="1"/>
  <c r="K102" i="1" s="1"/>
  <c r="E103" i="1"/>
  <c r="E104" i="1"/>
  <c r="K104" i="1" s="1"/>
  <c r="E105" i="1"/>
  <c r="K105" i="1" s="1"/>
  <c r="E106" i="1"/>
  <c r="K106" i="1" s="1"/>
  <c r="E107" i="1"/>
  <c r="K107" i="1" s="1"/>
  <c r="E108" i="1"/>
  <c r="K108" i="1" s="1"/>
  <c r="E109" i="1"/>
  <c r="K109" i="1" s="1"/>
  <c r="E110" i="1"/>
  <c r="K110" i="1" s="1"/>
  <c r="E111" i="1"/>
  <c r="E112" i="1"/>
  <c r="K112" i="1" s="1"/>
  <c r="E113" i="1"/>
  <c r="E114" i="1"/>
  <c r="E115" i="1"/>
  <c r="K115" i="1" s="1"/>
  <c r="E116" i="1"/>
  <c r="K116" i="1" s="1"/>
  <c r="E117" i="1"/>
  <c r="K117" i="1" s="1"/>
  <c r="E118" i="1"/>
  <c r="K118" i="1" s="1"/>
  <c r="E119" i="1"/>
  <c r="K119" i="1" s="1"/>
  <c r="E120" i="1"/>
  <c r="K120" i="1" s="1"/>
  <c r="E121" i="1"/>
  <c r="K121" i="1" s="1"/>
  <c r="E122" i="1"/>
  <c r="E123" i="1"/>
  <c r="K123" i="1" s="1"/>
  <c r="E124" i="1"/>
  <c r="K124" i="1" s="1"/>
  <c r="E125" i="1"/>
  <c r="K125" i="1" s="1"/>
  <c r="E126" i="1"/>
  <c r="K126" i="1" s="1"/>
  <c r="E127" i="1"/>
  <c r="K127" i="1" s="1"/>
  <c r="E128" i="1"/>
  <c r="K128" i="1" s="1"/>
  <c r="E129" i="1"/>
  <c r="E130" i="1"/>
  <c r="K130" i="1" s="1"/>
  <c r="E131" i="1"/>
  <c r="K131" i="1" s="1"/>
  <c r="E132" i="1"/>
  <c r="K132" i="1" s="1"/>
  <c r="E133" i="1"/>
  <c r="K133" i="1" s="1"/>
  <c r="E134" i="1"/>
  <c r="K134" i="1" s="1"/>
  <c r="E135" i="1"/>
  <c r="K135" i="1" s="1"/>
  <c r="E136" i="1"/>
  <c r="K136" i="1" s="1"/>
  <c r="E137" i="1"/>
  <c r="K137" i="1" s="1"/>
  <c r="E138" i="1"/>
  <c r="E139" i="1"/>
  <c r="K139" i="1" s="1"/>
  <c r="E140" i="1"/>
  <c r="K140" i="1" s="1"/>
  <c r="E141" i="1"/>
  <c r="K141" i="1" s="1"/>
  <c r="E142" i="1"/>
  <c r="K142" i="1" s="1"/>
  <c r="E143" i="1"/>
  <c r="E144" i="1"/>
  <c r="K144" i="1" s="1"/>
  <c r="E145" i="1"/>
  <c r="K145" i="1" s="1"/>
  <c r="E146" i="1"/>
  <c r="K146" i="1" s="1"/>
  <c r="E147" i="1"/>
  <c r="K147" i="1" s="1"/>
  <c r="E148" i="1"/>
  <c r="K148" i="1" s="1"/>
  <c r="E149" i="1"/>
  <c r="K149" i="1" s="1"/>
  <c r="E150" i="1"/>
  <c r="K150" i="1" s="1"/>
  <c r="E151" i="1"/>
  <c r="E152" i="1"/>
  <c r="K152" i="1" s="1"/>
  <c r="E153" i="1"/>
  <c r="K153" i="1" s="1"/>
  <c r="E154" i="1"/>
  <c r="E155" i="1"/>
  <c r="K155" i="1" s="1"/>
  <c r="E156" i="1"/>
  <c r="K156" i="1" s="1"/>
  <c r="E157" i="1"/>
  <c r="K157" i="1" s="1"/>
  <c r="E158" i="1"/>
  <c r="K158" i="1" s="1"/>
  <c r="E159" i="1"/>
  <c r="K159" i="1" s="1"/>
  <c r="E160" i="1"/>
  <c r="K160" i="1" s="1"/>
  <c r="E161" i="1"/>
  <c r="E162" i="1"/>
  <c r="E163" i="1"/>
  <c r="K163" i="1" s="1"/>
  <c r="E164" i="1"/>
  <c r="K164" i="1" s="1"/>
  <c r="E165" i="1"/>
  <c r="K165" i="1" s="1"/>
  <c r="E166" i="1"/>
  <c r="K166" i="1" s="1"/>
  <c r="E167" i="1"/>
  <c r="K167" i="1" s="1"/>
  <c r="E168" i="1"/>
  <c r="K168" i="1" s="1"/>
  <c r="E169" i="1"/>
  <c r="K169" i="1" s="1"/>
  <c r="E170" i="1"/>
  <c r="K170" i="1" s="1"/>
  <c r="E171" i="1"/>
  <c r="K171" i="1" s="1"/>
  <c r="E172" i="1"/>
  <c r="K172" i="1" s="1"/>
  <c r="E173" i="1"/>
  <c r="K173" i="1" s="1"/>
  <c r="E174" i="1"/>
  <c r="K174" i="1" s="1"/>
  <c r="E175" i="1"/>
  <c r="E176" i="1"/>
  <c r="K176" i="1" s="1"/>
  <c r="E177" i="1"/>
  <c r="K177" i="1" s="1"/>
  <c r="E178" i="1"/>
  <c r="K178" i="1" s="1"/>
  <c r="E179" i="1"/>
  <c r="K179" i="1" s="1"/>
  <c r="E180" i="1"/>
  <c r="K180" i="1" s="1"/>
  <c r="E181" i="1"/>
  <c r="K181" i="1" s="1"/>
  <c r="E182" i="1"/>
  <c r="K182" i="1" s="1"/>
  <c r="E183" i="1"/>
  <c r="K183" i="1" s="1"/>
  <c r="E184" i="1"/>
  <c r="K184" i="1" s="1"/>
  <c r="E185" i="1"/>
  <c r="K185" i="1" s="1"/>
  <c r="E186" i="1"/>
  <c r="E187" i="1"/>
  <c r="K187" i="1" s="1"/>
  <c r="E188" i="1"/>
  <c r="K188" i="1" s="1"/>
  <c r="E189" i="1"/>
  <c r="K189" i="1" s="1"/>
  <c r="E190" i="1"/>
  <c r="K190" i="1" s="1"/>
  <c r="E191" i="1"/>
  <c r="E192" i="1"/>
  <c r="K192" i="1" s="1"/>
  <c r="E193" i="1"/>
  <c r="E194" i="1"/>
  <c r="K194" i="1" s="1"/>
  <c r="E195" i="1"/>
  <c r="K195" i="1" s="1"/>
  <c r="E196" i="1"/>
  <c r="K196" i="1" s="1"/>
  <c r="E197" i="1"/>
  <c r="K197" i="1" s="1"/>
  <c r="E198" i="1"/>
  <c r="K198" i="1" s="1"/>
  <c r="E199" i="1"/>
  <c r="K199" i="1" s="1"/>
  <c r="E200" i="1"/>
  <c r="K200" i="1" s="1"/>
  <c r="E201" i="1"/>
  <c r="K201" i="1" s="1"/>
  <c r="E202" i="1"/>
  <c r="M202" i="1" s="1"/>
  <c r="E203" i="1"/>
  <c r="K203" i="1" s="1"/>
  <c r="E204" i="1"/>
  <c r="K204" i="1" s="1"/>
  <c r="E205" i="1"/>
  <c r="K205" i="1" s="1"/>
  <c r="E206" i="1"/>
  <c r="K206" i="1" s="1"/>
  <c r="E207" i="1"/>
  <c r="K207" i="1" s="1"/>
  <c r="E208" i="1"/>
  <c r="K208" i="1" s="1"/>
  <c r="E209" i="1"/>
  <c r="K209" i="1" s="1"/>
  <c r="E210" i="1"/>
  <c r="K210" i="1" s="1"/>
  <c r="E211" i="1"/>
  <c r="K211" i="1" s="1"/>
  <c r="E212" i="1"/>
  <c r="K212" i="1" s="1"/>
  <c r="E213" i="1"/>
  <c r="K213" i="1" s="1"/>
  <c r="E214" i="1"/>
  <c r="K214" i="1" s="1"/>
  <c r="E215" i="1"/>
  <c r="K215" i="1" s="1"/>
  <c r="E216" i="1"/>
  <c r="K216" i="1" s="1"/>
  <c r="E217" i="1"/>
  <c r="K217" i="1" s="1"/>
  <c r="E218" i="1"/>
  <c r="K218" i="1" s="1"/>
  <c r="E219" i="1"/>
  <c r="K219" i="1" s="1"/>
  <c r="E220" i="1"/>
  <c r="K220" i="1" s="1"/>
  <c r="E221" i="1"/>
  <c r="M221" i="1" s="1"/>
  <c r="E222" i="1"/>
  <c r="K222" i="1" s="1"/>
  <c r="E223" i="1"/>
  <c r="E224" i="1"/>
  <c r="M224" i="1" s="1"/>
  <c r="E225" i="1"/>
  <c r="E226" i="1"/>
  <c r="K226" i="1" s="1"/>
  <c r="E227" i="1"/>
  <c r="K227" i="1" s="1"/>
  <c r="E228" i="1"/>
  <c r="K228" i="1" s="1"/>
  <c r="E229" i="1"/>
  <c r="K229" i="1" s="1"/>
  <c r="E230" i="1"/>
  <c r="K230" i="1" s="1"/>
  <c r="E231" i="1"/>
  <c r="K231" i="1" s="1"/>
  <c r="E232" i="1"/>
  <c r="K232" i="1" s="1"/>
  <c r="E233" i="1"/>
  <c r="K233" i="1" s="1"/>
  <c r="E234" i="1"/>
  <c r="M234" i="1" s="1"/>
  <c r="E235" i="1"/>
  <c r="K235" i="1" s="1"/>
  <c r="E236" i="1"/>
  <c r="K236" i="1" s="1"/>
  <c r="E237" i="1"/>
  <c r="K237" i="1" s="1"/>
  <c r="E238" i="1"/>
  <c r="K238" i="1" s="1"/>
  <c r="E239" i="1"/>
  <c r="K239" i="1" s="1"/>
  <c r="E240" i="1"/>
  <c r="K240" i="1" s="1"/>
  <c r="E241" i="1"/>
  <c r="E242" i="1"/>
  <c r="M242" i="1" s="1"/>
  <c r="E243" i="1"/>
  <c r="K243" i="1" s="1"/>
  <c r="E244" i="1"/>
  <c r="K244" i="1" s="1"/>
  <c r="E245" i="1"/>
  <c r="K245" i="1" s="1"/>
  <c r="E246" i="1"/>
  <c r="K246" i="1" s="1"/>
  <c r="E247" i="1"/>
  <c r="K247" i="1" s="1"/>
  <c r="E248" i="1"/>
  <c r="K248" i="1" s="1"/>
  <c r="E249" i="1"/>
  <c r="K249" i="1" s="1"/>
  <c r="E250" i="1"/>
  <c r="K250" i="1" s="1"/>
  <c r="E251" i="1"/>
  <c r="K251" i="1" s="1"/>
  <c r="E252" i="1"/>
  <c r="K252" i="1" s="1"/>
  <c r="E253" i="1"/>
  <c r="K253" i="1" s="1"/>
  <c r="E254" i="1"/>
  <c r="K254" i="1" s="1"/>
  <c r="E255" i="1"/>
  <c r="E256" i="1"/>
  <c r="K256" i="1" s="1"/>
  <c r="E257" i="1"/>
  <c r="E258" i="1"/>
  <c r="K258" i="1" s="1"/>
  <c r="E259" i="1"/>
  <c r="K259" i="1" s="1"/>
  <c r="E260" i="1"/>
  <c r="K260" i="1" s="1"/>
  <c r="E261" i="1"/>
  <c r="K261" i="1" s="1"/>
  <c r="E262" i="1"/>
  <c r="K262" i="1" s="1"/>
  <c r="E263" i="1"/>
  <c r="E264" i="1"/>
  <c r="K264" i="1" s="1"/>
  <c r="E265" i="1"/>
  <c r="K265" i="1" s="1"/>
  <c r="E266" i="1"/>
  <c r="K266" i="1" s="1"/>
  <c r="E267" i="1"/>
  <c r="K267" i="1" s="1"/>
  <c r="E268" i="1"/>
  <c r="K268" i="1" s="1"/>
  <c r="E269" i="1"/>
  <c r="K269" i="1" s="1"/>
  <c r="E270" i="1"/>
  <c r="K270" i="1" s="1"/>
  <c r="E271" i="1"/>
  <c r="K271" i="1" s="1"/>
  <c r="E272" i="1"/>
  <c r="K272" i="1" s="1"/>
  <c r="E273" i="1"/>
  <c r="E274" i="1"/>
  <c r="M274" i="1" s="1"/>
  <c r="E275" i="1"/>
  <c r="K275" i="1" s="1"/>
  <c r="E276" i="1"/>
  <c r="K276" i="1" s="1"/>
  <c r="E277" i="1"/>
  <c r="M277" i="1" s="1"/>
  <c r="E278" i="1"/>
  <c r="K278" i="1" s="1"/>
  <c r="E279" i="1"/>
  <c r="K279" i="1" s="1"/>
  <c r="E280" i="1"/>
  <c r="K280" i="1" s="1"/>
  <c r="E281" i="1"/>
  <c r="K281" i="1" s="1"/>
  <c r="E282" i="1"/>
  <c r="K282" i="1" s="1"/>
  <c r="E283" i="1"/>
  <c r="K283" i="1" s="1"/>
  <c r="E284" i="1"/>
  <c r="K284" i="1" s="1"/>
  <c r="E285" i="1"/>
  <c r="K285" i="1" s="1"/>
  <c r="E286" i="1"/>
  <c r="K286" i="1" s="1"/>
  <c r="E287" i="1"/>
  <c r="K287" i="1" s="1"/>
  <c r="E288" i="1"/>
  <c r="K288" i="1" s="1"/>
  <c r="E289" i="1"/>
  <c r="E290" i="1"/>
  <c r="K290" i="1" s="1"/>
  <c r="E291" i="1"/>
  <c r="K291" i="1" s="1"/>
  <c r="E292" i="1"/>
  <c r="K292" i="1" s="1"/>
  <c r="E293" i="1"/>
  <c r="K293" i="1" s="1"/>
  <c r="E294" i="1"/>
  <c r="K294" i="1" s="1"/>
  <c r="E295" i="1"/>
  <c r="E296" i="1"/>
  <c r="K296" i="1" s="1"/>
  <c r="E297" i="1"/>
  <c r="K297" i="1" s="1"/>
  <c r="E298" i="1"/>
  <c r="K298" i="1" s="1"/>
  <c r="E299" i="1"/>
  <c r="K299" i="1" s="1"/>
  <c r="E300" i="1"/>
  <c r="K300" i="1" s="1"/>
  <c r="E301" i="1"/>
  <c r="K301" i="1" s="1"/>
  <c r="E302" i="1"/>
  <c r="K302" i="1" s="1"/>
  <c r="E303" i="1"/>
  <c r="K303" i="1" s="1"/>
  <c r="E304" i="1"/>
  <c r="K304" i="1" s="1"/>
  <c r="E305" i="1"/>
  <c r="E306" i="1"/>
  <c r="M306" i="1" s="1"/>
  <c r="E307" i="1"/>
  <c r="K307" i="1" s="1"/>
  <c r="E308" i="1"/>
  <c r="K308" i="1" s="1"/>
  <c r="E309" i="1"/>
  <c r="K309" i="1" s="1"/>
  <c r="E310" i="1"/>
  <c r="K310" i="1" s="1"/>
  <c r="E311" i="1"/>
  <c r="E312" i="1"/>
  <c r="K312" i="1" s="1"/>
  <c r="E313" i="1"/>
  <c r="K313" i="1" s="1"/>
  <c r="E314" i="1"/>
  <c r="K314" i="1" s="1"/>
  <c r="E315" i="1"/>
  <c r="K315" i="1" s="1"/>
  <c r="E316" i="1"/>
  <c r="K316" i="1" s="1"/>
  <c r="E317" i="1"/>
  <c r="K317" i="1" s="1"/>
  <c r="E318" i="1"/>
  <c r="K318" i="1" s="1"/>
  <c r="E319" i="1"/>
  <c r="K319" i="1" s="1"/>
  <c r="E320" i="1"/>
  <c r="K320" i="1" s="1"/>
  <c r="E321" i="1"/>
  <c r="E322" i="1"/>
  <c r="K322" i="1" s="1"/>
  <c r="E323" i="1"/>
  <c r="K323" i="1" s="1"/>
  <c r="E324" i="1"/>
  <c r="K324" i="1" s="1"/>
  <c r="E325" i="1"/>
  <c r="K325" i="1" s="1"/>
  <c r="E326" i="1"/>
  <c r="K326" i="1" s="1"/>
  <c r="E327" i="1"/>
  <c r="E328" i="1"/>
  <c r="K328" i="1" s="1"/>
  <c r="E329" i="1"/>
  <c r="K329" i="1" s="1"/>
  <c r="E330" i="1"/>
  <c r="K330" i="1" s="1"/>
  <c r="E331" i="1"/>
  <c r="K331" i="1" s="1"/>
  <c r="E332" i="1"/>
  <c r="K332" i="1" s="1"/>
  <c r="E333" i="1"/>
  <c r="K333" i="1" s="1"/>
  <c r="E334" i="1"/>
  <c r="K334" i="1" s="1"/>
  <c r="E335" i="1"/>
  <c r="K335" i="1" s="1"/>
  <c r="E336" i="1"/>
  <c r="K336" i="1" s="1"/>
  <c r="E337" i="1"/>
  <c r="K337" i="1" s="1"/>
  <c r="E338" i="1"/>
  <c r="K338" i="1" s="1"/>
  <c r="E339" i="1"/>
  <c r="K339" i="1" s="1"/>
  <c r="E340" i="1"/>
  <c r="K340" i="1" s="1"/>
  <c r="E341" i="1"/>
  <c r="M341" i="1" s="1"/>
  <c r="E342" i="1"/>
  <c r="K342" i="1" s="1"/>
  <c r="E343" i="1"/>
  <c r="E344" i="1"/>
  <c r="K344" i="1" s="1"/>
  <c r="E345" i="1"/>
  <c r="K345" i="1" s="1"/>
  <c r="E346" i="1"/>
  <c r="K346" i="1" s="1"/>
  <c r="E347" i="1"/>
  <c r="K347" i="1" s="1"/>
  <c r="E348" i="1"/>
  <c r="K348" i="1" s="1"/>
  <c r="E349" i="1"/>
  <c r="K349" i="1" s="1"/>
  <c r="E350" i="1"/>
  <c r="K350" i="1" s="1"/>
  <c r="E351" i="1"/>
  <c r="K351" i="1" s="1"/>
  <c r="E352" i="1"/>
  <c r="K352" i="1" s="1"/>
  <c r="E353" i="1"/>
  <c r="E354" i="1"/>
  <c r="K354" i="1" s="1"/>
  <c r="E355" i="1"/>
  <c r="K355" i="1" s="1"/>
  <c r="E356" i="1"/>
  <c r="K356" i="1" s="1"/>
  <c r="E357" i="1"/>
  <c r="K357" i="1" s="1"/>
  <c r="E358" i="1"/>
  <c r="K358" i="1" s="1"/>
  <c r="E359" i="1"/>
  <c r="E360" i="1"/>
  <c r="K360" i="1" s="1"/>
  <c r="E361" i="1"/>
  <c r="K361" i="1" s="1"/>
  <c r="E362" i="1"/>
  <c r="M362" i="1" s="1"/>
  <c r="E363" i="1"/>
  <c r="K363" i="1" s="1"/>
  <c r="E364" i="1"/>
  <c r="K364" i="1" s="1"/>
  <c r="E365" i="1"/>
  <c r="K365" i="1" s="1"/>
  <c r="E366" i="1"/>
  <c r="K366" i="1" s="1"/>
  <c r="E367" i="1"/>
  <c r="K367" i="1" s="1"/>
  <c r="E368" i="1"/>
  <c r="K368" i="1" s="1"/>
  <c r="E369" i="1"/>
  <c r="K369" i="1" s="1"/>
  <c r="E370" i="1"/>
  <c r="K370" i="1" s="1"/>
  <c r="E371" i="1"/>
  <c r="K371" i="1" s="1"/>
  <c r="E372" i="1"/>
  <c r="K372" i="1" s="1"/>
  <c r="E373" i="1"/>
  <c r="K373" i="1" s="1"/>
  <c r="E374" i="1"/>
  <c r="K374" i="1" s="1"/>
  <c r="E375" i="1"/>
  <c r="E376" i="1"/>
  <c r="K376" i="1" s="1"/>
  <c r="E377" i="1"/>
  <c r="K377" i="1" s="1"/>
  <c r="E378" i="1"/>
  <c r="K378" i="1" s="1"/>
  <c r="E379" i="1"/>
  <c r="K379" i="1" s="1"/>
  <c r="E380" i="1"/>
  <c r="K380" i="1" s="1"/>
  <c r="E381" i="1"/>
  <c r="K381" i="1" s="1"/>
  <c r="E382" i="1"/>
  <c r="K382" i="1" s="1"/>
  <c r="E383" i="1"/>
  <c r="K383" i="1" s="1"/>
  <c r="E384" i="1"/>
  <c r="K384" i="1" s="1"/>
  <c r="E385" i="1"/>
  <c r="E386" i="1"/>
  <c r="K386" i="1" s="1"/>
  <c r="E387" i="1"/>
  <c r="K387" i="1" s="1"/>
  <c r="E388" i="1"/>
  <c r="K388" i="1" s="1"/>
  <c r="E389" i="1"/>
  <c r="K389" i="1" s="1"/>
  <c r="E390" i="1"/>
  <c r="K390" i="1" s="1"/>
  <c r="E391" i="1"/>
  <c r="K391" i="1" s="1"/>
  <c r="E392" i="1"/>
  <c r="K392" i="1" s="1"/>
  <c r="E393" i="1"/>
  <c r="K393" i="1" s="1"/>
  <c r="E394" i="1"/>
  <c r="M394" i="1" s="1"/>
  <c r="E395" i="1"/>
  <c r="K395" i="1" s="1"/>
  <c r="E396" i="1"/>
  <c r="K396" i="1" s="1"/>
  <c r="E397" i="1"/>
  <c r="K397" i="1" s="1"/>
  <c r="E398" i="1"/>
  <c r="K398" i="1" s="1"/>
  <c r="E399" i="1"/>
  <c r="K399" i="1" s="1"/>
  <c r="E400" i="1"/>
  <c r="M400" i="1" s="1"/>
  <c r="E401" i="1"/>
  <c r="K401" i="1" s="1"/>
  <c r="E402" i="1"/>
  <c r="K402" i="1" s="1"/>
  <c r="E403" i="1"/>
  <c r="K403" i="1" s="1"/>
  <c r="E404" i="1"/>
  <c r="K404" i="1" s="1"/>
  <c r="E405" i="1"/>
  <c r="K405" i="1" s="1"/>
  <c r="E406" i="1"/>
  <c r="K406" i="1" s="1"/>
  <c r="E407" i="1"/>
  <c r="E408" i="1"/>
  <c r="K408" i="1" s="1"/>
  <c r="E409" i="1"/>
  <c r="K409" i="1" s="1"/>
  <c r="E410" i="1"/>
  <c r="K410" i="1" s="1"/>
  <c r="E411" i="1"/>
  <c r="K411" i="1" s="1"/>
  <c r="E412" i="1"/>
  <c r="K412" i="1" s="1"/>
  <c r="E413" i="1"/>
  <c r="M413" i="1" s="1"/>
  <c r="E414" i="1"/>
  <c r="K414" i="1" s="1"/>
  <c r="E415" i="1"/>
  <c r="E416" i="1"/>
  <c r="K416" i="1" s="1"/>
  <c r="E417" i="1"/>
  <c r="E418" i="1"/>
  <c r="K418" i="1" s="1"/>
  <c r="E419" i="1"/>
  <c r="K419" i="1" s="1"/>
  <c r="E420" i="1"/>
  <c r="K420" i="1" s="1"/>
  <c r="E421" i="1"/>
  <c r="K421" i="1" s="1"/>
  <c r="E422" i="1"/>
  <c r="K422" i="1" s="1"/>
  <c r="E423" i="1"/>
  <c r="K423" i="1" s="1"/>
  <c r="E424" i="1"/>
  <c r="K424" i="1" s="1"/>
  <c r="E425" i="1"/>
  <c r="K425" i="1" s="1"/>
  <c r="E426" i="1"/>
  <c r="M426" i="1" s="1"/>
  <c r="E427" i="1"/>
  <c r="K427" i="1" s="1"/>
  <c r="E428" i="1"/>
  <c r="K428" i="1" s="1"/>
  <c r="E429" i="1"/>
  <c r="K429" i="1" s="1"/>
  <c r="E430" i="1"/>
  <c r="K430" i="1" s="1"/>
  <c r="E431" i="1"/>
  <c r="K431" i="1" s="1"/>
  <c r="E432" i="1"/>
  <c r="K432" i="1" s="1"/>
  <c r="E433" i="1"/>
  <c r="K433" i="1" s="1"/>
  <c r="E434" i="1"/>
  <c r="K434" i="1" s="1"/>
  <c r="E435" i="1"/>
  <c r="K435" i="1" s="1"/>
  <c r="E436" i="1"/>
  <c r="K436" i="1" s="1"/>
  <c r="E437" i="1"/>
  <c r="K437" i="1" s="1"/>
  <c r="E438" i="1"/>
  <c r="K438" i="1" s="1"/>
  <c r="E439" i="1"/>
  <c r="K439" i="1" s="1"/>
  <c r="E440" i="1"/>
  <c r="K440" i="1" s="1"/>
  <c r="E441" i="1"/>
  <c r="K441" i="1" s="1"/>
  <c r="E442" i="1"/>
  <c r="K442" i="1" s="1"/>
  <c r="E443" i="1"/>
  <c r="K443" i="1" s="1"/>
  <c r="E444" i="1"/>
  <c r="K444" i="1" s="1"/>
  <c r="E445" i="1"/>
  <c r="K445" i="1" s="1"/>
  <c r="E446" i="1"/>
  <c r="K446" i="1" s="1"/>
  <c r="E447" i="1"/>
  <c r="M447" i="1" s="1"/>
  <c r="E448" i="1"/>
  <c r="M448" i="1" s="1"/>
  <c r="E449" i="1"/>
  <c r="M449" i="1" s="1"/>
  <c r="E450" i="1"/>
  <c r="K450" i="1" s="1"/>
  <c r="E451" i="1"/>
  <c r="K451" i="1" s="1"/>
  <c r="E452" i="1"/>
  <c r="K452" i="1" s="1"/>
  <c r="E453" i="1"/>
  <c r="K453" i="1" s="1"/>
  <c r="E454" i="1"/>
  <c r="K454" i="1" s="1"/>
  <c r="E455" i="1"/>
  <c r="K455" i="1" s="1"/>
  <c r="E456" i="1"/>
  <c r="K456" i="1" s="1"/>
  <c r="E457" i="1"/>
  <c r="K457" i="1" s="1"/>
  <c r="E458" i="1"/>
  <c r="K458" i="1" s="1"/>
  <c r="E459" i="1"/>
  <c r="K459" i="1" s="1"/>
  <c r="E460" i="1"/>
  <c r="K460" i="1" s="1"/>
  <c r="E461" i="1"/>
  <c r="K461" i="1" s="1"/>
  <c r="E462" i="1"/>
  <c r="K462" i="1" s="1"/>
  <c r="E463" i="1"/>
  <c r="K463" i="1" s="1"/>
  <c r="E464" i="1"/>
  <c r="K464" i="1" s="1"/>
  <c r="E465" i="1"/>
  <c r="M465" i="1" s="1"/>
  <c r="E466" i="1"/>
  <c r="M466" i="1" s="1"/>
  <c r="E467" i="1"/>
  <c r="K467" i="1" s="1"/>
  <c r="E468" i="1"/>
  <c r="K468" i="1" s="1"/>
  <c r="E469" i="1"/>
  <c r="K469" i="1" s="1"/>
  <c r="E470" i="1"/>
  <c r="K470" i="1" s="1"/>
  <c r="E471" i="1"/>
  <c r="K471" i="1" s="1"/>
  <c r="E472" i="1"/>
  <c r="K472" i="1" s="1"/>
  <c r="E473" i="1"/>
  <c r="K473" i="1" s="1"/>
  <c r="E474" i="1"/>
  <c r="K474" i="1" s="1"/>
  <c r="E475" i="1"/>
  <c r="K475" i="1" s="1"/>
  <c r="E476" i="1"/>
  <c r="K476" i="1" s="1"/>
  <c r="E477" i="1"/>
  <c r="M477" i="1" s="1"/>
  <c r="E478" i="1"/>
  <c r="K478" i="1" s="1"/>
  <c r="E479" i="1"/>
  <c r="M479" i="1" s="1"/>
  <c r="E480" i="1"/>
  <c r="M480" i="1" s="1"/>
  <c r="E481" i="1"/>
  <c r="M481" i="1" s="1"/>
  <c r="E482" i="1"/>
  <c r="K482" i="1" s="1"/>
  <c r="E483" i="1"/>
  <c r="K483" i="1" s="1"/>
  <c r="E484" i="1"/>
  <c r="K484" i="1" s="1"/>
  <c r="E485" i="1"/>
  <c r="K485" i="1" s="1"/>
  <c r="E486" i="1"/>
  <c r="K486" i="1" s="1"/>
  <c r="E487" i="1"/>
  <c r="K487" i="1" s="1"/>
  <c r="E488" i="1"/>
  <c r="K488" i="1" s="1"/>
  <c r="E489" i="1"/>
  <c r="K489" i="1" s="1"/>
  <c r="E490" i="1"/>
  <c r="K490" i="1" s="1"/>
  <c r="E491" i="1"/>
  <c r="K491" i="1" s="1"/>
  <c r="E492" i="1"/>
  <c r="K492" i="1" s="1"/>
  <c r="E493" i="1"/>
  <c r="K493" i="1" s="1"/>
  <c r="E494" i="1"/>
  <c r="K494" i="1" s="1"/>
  <c r="E495" i="1"/>
  <c r="K495" i="1" s="1"/>
  <c r="E496" i="1"/>
  <c r="K496" i="1" s="1"/>
  <c r="E497" i="1"/>
  <c r="M497" i="1" s="1"/>
  <c r="E498" i="1"/>
  <c r="K498" i="1" s="1"/>
  <c r="E499" i="1"/>
  <c r="K499" i="1" s="1"/>
  <c r="E500" i="1"/>
  <c r="K500" i="1" s="1"/>
  <c r="E501" i="1"/>
  <c r="K501" i="1" s="1"/>
  <c r="E502" i="1"/>
  <c r="K502" i="1" s="1"/>
  <c r="E503" i="1"/>
  <c r="K503" i="1" s="1"/>
  <c r="E504" i="1"/>
  <c r="K504" i="1" s="1"/>
  <c r="E505" i="1"/>
  <c r="K505" i="1" s="1"/>
  <c r="E506" i="1"/>
  <c r="K506" i="1" s="1"/>
  <c r="E507" i="1"/>
  <c r="K507" i="1" s="1"/>
  <c r="E508" i="1"/>
  <c r="K508" i="1" s="1"/>
  <c r="E509" i="1"/>
  <c r="K509" i="1" s="1"/>
  <c r="E510" i="1"/>
  <c r="K510" i="1" s="1"/>
  <c r="E511" i="1"/>
  <c r="M511" i="1" s="1"/>
  <c r="E512" i="1"/>
  <c r="M512" i="1" s="1"/>
  <c r="E513" i="1"/>
  <c r="M513" i="1" s="1"/>
  <c r="E514" i="1"/>
  <c r="K514" i="1" s="1"/>
  <c r="E515" i="1"/>
  <c r="K515" i="1" s="1"/>
  <c r="E516" i="1"/>
  <c r="K516" i="1" s="1"/>
  <c r="E517" i="1"/>
  <c r="K517" i="1" s="1"/>
  <c r="E518" i="1"/>
  <c r="K518" i="1" s="1"/>
  <c r="E519" i="1"/>
  <c r="M519" i="1" s="1"/>
  <c r="E520" i="1"/>
  <c r="K520" i="1" s="1"/>
  <c r="E521" i="1"/>
  <c r="K521" i="1" s="1"/>
  <c r="E522" i="1"/>
  <c r="K522" i="1" s="1"/>
  <c r="E523" i="1"/>
  <c r="K523" i="1" s="1"/>
  <c r="E524" i="1"/>
  <c r="K524" i="1" s="1"/>
  <c r="E525" i="1"/>
  <c r="K525" i="1" s="1"/>
  <c r="E526" i="1"/>
  <c r="K526" i="1" s="1"/>
  <c r="E527" i="1"/>
  <c r="K527" i="1" s="1"/>
  <c r="E528" i="1"/>
  <c r="M528" i="1" s="1"/>
  <c r="E529" i="1"/>
  <c r="M529" i="1" s="1"/>
  <c r="E530" i="1"/>
  <c r="M530" i="1" s="1"/>
  <c r="E531" i="1"/>
  <c r="K531" i="1" s="1"/>
  <c r="E532" i="1"/>
  <c r="K532" i="1" s="1"/>
  <c r="E533" i="1"/>
  <c r="M533" i="1" s="1"/>
  <c r="E534" i="1"/>
  <c r="K534" i="1" s="1"/>
  <c r="E535" i="1"/>
  <c r="K535" i="1" s="1"/>
  <c r="E536" i="1"/>
  <c r="K536" i="1" s="1"/>
  <c r="E537" i="1"/>
  <c r="K537" i="1" s="1"/>
  <c r="E538" i="1"/>
  <c r="K538" i="1" s="1"/>
  <c r="E539" i="1"/>
  <c r="K539" i="1" s="1"/>
  <c r="E540" i="1"/>
  <c r="K540" i="1" s="1"/>
  <c r="E541" i="1"/>
  <c r="K541" i="1" s="1"/>
  <c r="E542" i="1"/>
  <c r="K542" i="1" s="1"/>
  <c r="E543" i="1"/>
  <c r="K543" i="1" s="1"/>
  <c r="E544" i="1"/>
  <c r="K544" i="1" s="1"/>
  <c r="E545" i="1"/>
  <c r="M545" i="1" s="1"/>
  <c r="E546" i="1"/>
  <c r="K546" i="1" s="1"/>
  <c r="E547" i="1"/>
  <c r="K547" i="1" s="1"/>
  <c r="E548" i="1"/>
  <c r="K548" i="1" s="1"/>
  <c r="E549" i="1"/>
  <c r="K549" i="1" s="1"/>
  <c r="E550" i="1"/>
  <c r="K550" i="1" s="1"/>
  <c r="E551" i="1"/>
  <c r="M551" i="1" s="1"/>
  <c r="E552" i="1"/>
  <c r="K552" i="1" s="1"/>
  <c r="E553" i="1"/>
  <c r="K553" i="1" s="1"/>
  <c r="E554" i="1"/>
  <c r="K554" i="1" s="1"/>
  <c r="E555" i="1"/>
  <c r="K555" i="1" s="1"/>
  <c r="E556" i="1"/>
  <c r="K556" i="1" s="1"/>
  <c r="E557" i="1"/>
  <c r="K557" i="1" s="1"/>
  <c r="E558" i="1"/>
  <c r="K558" i="1" s="1"/>
  <c r="E559" i="1"/>
  <c r="K559" i="1" s="1"/>
  <c r="E560" i="1"/>
  <c r="K560" i="1" s="1"/>
  <c r="E561" i="1"/>
  <c r="M561" i="1" s="1"/>
  <c r="E562" i="1"/>
  <c r="K562" i="1" s="1"/>
  <c r="E563" i="1"/>
  <c r="K563" i="1" s="1"/>
  <c r="E564" i="1"/>
  <c r="K564" i="1" s="1"/>
  <c r="E565" i="1"/>
  <c r="K565" i="1" s="1"/>
  <c r="E566" i="1"/>
  <c r="K566" i="1" s="1"/>
  <c r="E567" i="1"/>
  <c r="K567" i="1" s="1"/>
  <c r="E568" i="1"/>
  <c r="K568" i="1" s="1"/>
  <c r="E569" i="1"/>
  <c r="K569" i="1" s="1"/>
  <c r="E570" i="1"/>
  <c r="K570" i="1" s="1"/>
  <c r="E571" i="1"/>
  <c r="K571" i="1" s="1"/>
  <c r="E572" i="1"/>
  <c r="K572" i="1" s="1"/>
  <c r="E573" i="1"/>
  <c r="K573" i="1" s="1"/>
  <c r="E574" i="1"/>
  <c r="K574" i="1" s="1"/>
  <c r="E575" i="1"/>
  <c r="K575" i="1" s="1"/>
  <c r="E576" i="1"/>
  <c r="M576" i="1" s="1"/>
  <c r="E577" i="1"/>
  <c r="M577" i="1" s="1"/>
  <c r="E578" i="1"/>
  <c r="K578" i="1" s="1"/>
  <c r="E579" i="1"/>
  <c r="K579" i="1" s="1"/>
  <c r="E580" i="1"/>
  <c r="K580" i="1" s="1"/>
  <c r="E581" i="1"/>
  <c r="K581" i="1" s="1"/>
  <c r="E582" i="1"/>
  <c r="K582" i="1" s="1"/>
  <c r="E583" i="1"/>
  <c r="M583" i="1" s="1"/>
  <c r="E584" i="1"/>
  <c r="K584" i="1" s="1"/>
  <c r="E585" i="1"/>
  <c r="K585" i="1" s="1"/>
  <c r="E586" i="1"/>
  <c r="K586" i="1" s="1"/>
  <c r="E587" i="1"/>
  <c r="K587" i="1" s="1"/>
  <c r="E588" i="1"/>
  <c r="K588" i="1" s="1"/>
  <c r="E589" i="1"/>
  <c r="K589" i="1" s="1"/>
  <c r="E590" i="1"/>
  <c r="K590" i="1" s="1"/>
  <c r="E591" i="1"/>
  <c r="K591" i="1" s="1"/>
  <c r="E592" i="1"/>
  <c r="K592" i="1" s="1"/>
  <c r="E593" i="1"/>
  <c r="K593" i="1" s="1"/>
  <c r="E594" i="1"/>
  <c r="K594" i="1" s="1"/>
  <c r="E595" i="1"/>
  <c r="K595" i="1" s="1"/>
  <c r="E596" i="1"/>
  <c r="K596" i="1" s="1"/>
  <c r="E597" i="1"/>
  <c r="M597" i="1" s="1"/>
  <c r="E598" i="1"/>
  <c r="K598" i="1" s="1"/>
  <c r="E599" i="1"/>
  <c r="K599" i="1" s="1"/>
  <c r="E600" i="1"/>
  <c r="K600" i="1" s="1"/>
  <c r="E601" i="1"/>
  <c r="K601" i="1" s="1"/>
  <c r="E602" i="1"/>
  <c r="K602" i="1" s="1"/>
  <c r="E603" i="1"/>
  <c r="K603" i="1" s="1"/>
  <c r="E604" i="1"/>
  <c r="K604" i="1" s="1"/>
  <c r="E605" i="1"/>
  <c r="K605" i="1" s="1"/>
  <c r="E606" i="1"/>
  <c r="K606" i="1" s="1"/>
  <c r="E607" i="1"/>
  <c r="K607" i="1" s="1"/>
  <c r="E608" i="1"/>
  <c r="M608" i="1" s="1"/>
  <c r="E609" i="1"/>
  <c r="M609" i="1" s="1"/>
  <c r="E610" i="1"/>
  <c r="K610" i="1" s="1"/>
  <c r="E611" i="1"/>
  <c r="K611" i="1" s="1"/>
  <c r="E612" i="1"/>
  <c r="K612" i="1" s="1"/>
  <c r="E613" i="1"/>
  <c r="K613" i="1" s="1"/>
  <c r="E614" i="1"/>
  <c r="K614" i="1" s="1"/>
  <c r="E11" i="1"/>
  <c r="K11" i="1" s="1"/>
  <c r="E7" i="1"/>
  <c r="K7" i="1" s="1"/>
  <c r="E8" i="1"/>
  <c r="K8" i="1" s="1"/>
  <c r="E9" i="1"/>
  <c r="M9" i="1" s="1"/>
  <c r="E10" i="1"/>
  <c r="K6" i="1"/>
  <c r="D8" i="1"/>
  <c r="D9" i="1"/>
  <c r="D10" i="1"/>
  <c r="D12" i="1"/>
  <c r="D13" i="1"/>
  <c r="D14" i="1"/>
  <c r="D15" i="1"/>
  <c r="D16" i="1"/>
  <c r="D17" i="1"/>
  <c r="D18" i="1"/>
  <c r="D19" i="1"/>
  <c r="D20" i="1"/>
  <c r="D22" i="1"/>
  <c r="D23" i="1"/>
  <c r="D24" i="1"/>
  <c r="D25" i="1"/>
  <c r="D27" i="1"/>
  <c r="D28" i="1"/>
  <c r="D29" i="1"/>
  <c r="D30" i="1"/>
  <c r="D31" i="1"/>
  <c r="D32" i="1"/>
  <c r="D33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10" i="1"/>
  <c r="D111" i="1"/>
  <c r="D112" i="1"/>
  <c r="D113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2" i="1"/>
  <c r="D173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3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3" i="1"/>
  <c r="D244" i="1"/>
  <c r="D245" i="1"/>
  <c r="D246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9" i="1"/>
  <c r="D320" i="1"/>
  <c r="D321" i="1"/>
  <c r="D322" i="1"/>
  <c r="D324" i="1"/>
  <c r="D326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4" i="1"/>
  <c r="D345" i="1"/>
  <c r="D346" i="1"/>
  <c r="D347" i="1"/>
  <c r="D348" i="1"/>
  <c r="D349" i="1"/>
  <c r="D350" i="1"/>
  <c r="D351" i="1"/>
  <c r="D352" i="1"/>
  <c r="D353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9" i="1"/>
  <c r="D430" i="1"/>
  <c r="D431" i="1"/>
  <c r="D432" i="1"/>
  <c r="D433" i="1"/>
  <c r="D434" i="1"/>
  <c r="D435" i="1"/>
  <c r="D436" i="1"/>
  <c r="D437" i="1"/>
  <c r="D438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7" i="1"/>
  <c r="D6" i="1"/>
  <c r="O12" i="1" l="1"/>
  <c r="K306" i="1"/>
  <c r="K274" i="1"/>
  <c r="K242" i="1"/>
  <c r="M10" i="1"/>
  <c r="K10" i="1"/>
  <c r="K597" i="1"/>
  <c r="K533" i="1"/>
  <c r="K477" i="1"/>
  <c r="K400" i="1"/>
  <c r="K58" i="1"/>
  <c r="M186" i="1"/>
  <c r="K186" i="1"/>
  <c r="M162" i="1"/>
  <c r="K162" i="1"/>
  <c r="M154" i="1"/>
  <c r="K154" i="1"/>
  <c r="M138" i="1"/>
  <c r="K138" i="1"/>
  <c r="M122" i="1"/>
  <c r="K122" i="1"/>
  <c r="M114" i="1"/>
  <c r="K114" i="1"/>
  <c r="M98" i="1"/>
  <c r="K98" i="1"/>
  <c r="M90" i="1"/>
  <c r="K90" i="1"/>
  <c r="M74" i="1"/>
  <c r="K74" i="1"/>
  <c r="M26" i="1"/>
  <c r="K26" i="1"/>
  <c r="M417" i="1"/>
  <c r="K417" i="1"/>
  <c r="M385" i="1"/>
  <c r="K385" i="1"/>
  <c r="M353" i="1"/>
  <c r="K353" i="1"/>
  <c r="M321" i="1"/>
  <c r="K321" i="1"/>
  <c r="M305" i="1"/>
  <c r="K305" i="1"/>
  <c r="M289" i="1"/>
  <c r="K289" i="1"/>
  <c r="M273" i="1"/>
  <c r="K273" i="1"/>
  <c r="M257" i="1"/>
  <c r="K257" i="1"/>
  <c r="M241" i="1"/>
  <c r="K241" i="1"/>
  <c r="M225" i="1"/>
  <c r="K225" i="1"/>
  <c r="M193" i="1"/>
  <c r="K193" i="1"/>
  <c r="M161" i="1"/>
  <c r="K161" i="1"/>
  <c r="M129" i="1"/>
  <c r="K129" i="1"/>
  <c r="M113" i="1"/>
  <c r="K113" i="1"/>
  <c r="M97" i="1"/>
  <c r="K97" i="1"/>
  <c r="K39" i="1"/>
  <c r="K9" i="1"/>
  <c r="K530" i="1"/>
  <c r="K466" i="1"/>
  <c r="K426" i="1"/>
  <c r="M415" i="1"/>
  <c r="K415" i="1"/>
  <c r="M407" i="1"/>
  <c r="K407" i="1"/>
  <c r="M375" i="1"/>
  <c r="K375" i="1"/>
  <c r="M359" i="1"/>
  <c r="K359" i="1"/>
  <c r="M343" i="1"/>
  <c r="K343" i="1"/>
  <c r="M327" i="1"/>
  <c r="K327" i="1"/>
  <c r="M311" i="1"/>
  <c r="K311" i="1"/>
  <c r="M295" i="1"/>
  <c r="K295" i="1"/>
  <c r="M263" i="1"/>
  <c r="K263" i="1"/>
  <c r="M255" i="1"/>
  <c r="K255" i="1"/>
  <c r="M223" i="1"/>
  <c r="K223" i="1"/>
  <c r="M191" i="1"/>
  <c r="K191" i="1"/>
  <c r="M175" i="1"/>
  <c r="K175" i="1"/>
  <c r="M151" i="1"/>
  <c r="K151" i="1"/>
  <c r="M143" i="1"/>
  <c r="K143" i="1"/>
  <c r="M111" i="1"/>
  <c r="K111" i="1"/>
  <c r="M103" i="1"/>
  <c r="K103" i="1"/>
  <c r="M87" i="1"/>
  <c r="K87" i="1"/>
  <c r="K609" i="1"/>
  <c r="K577" i="1"/>
  <c r="K561" i="1"/>
  <c r="K545" i="1"/>
  <c r="K529" i="1"/>
  <c r="K513" i="1"/>
  <c r="K497" i="1"/>
  <c r="K481" i="1"/>
  <c r="K465" i="1"/>
  <c r="K449" i="1"/>
  <c r="K341" i="1"/>
  <c r="K277" i="1"/>
  <c r="K224" i="1"/>
  <c r="K63" i="1"/>
  <c r="K608" i="1"/>
  <c r="K576" i="1"/>
  <c r="K528" i="1"/>
  <c r="K512" i="1"/>
  <c r="K480" i="1"/>
  <c r="K448" i="1"/>
  <c r="K394" i="1"/>
  <c r="K362" i="1"/>
  <c r="K234" i="1"/>
  <c r="K202" i="1"/>
  <c r="K615" i="1"/>
  <c r="K583" i="1"/>
  <c r="K551" i="1"/>
  <c r="K519" i="1"/>
  <c r="K511" i="1"/>
  <c r="K479" i="1"/>
  <c r="K447" i="1"/>
  <c r="K413" i="1"/>
  <c r="K221" i="1"/>
  <c r="K15" i="1"/>
  <c r="M565" i="1"/>
  <c r="M381" i="1"/>
  <c r="M373" i="1"/>
  <c r="M309" i="1"/>
  <c r="M603" i="1"/>
  <c r="M595" i="1"/>
  <c r="M587" i="1"/>
  <c r="M539" i="1"/>
  <c r="M531" i="1"/>
  <c r="M523" i="1"/>
  <c r="M475" i="1"/>
  <c r="M459" i="1"/>
  <c r="M411" i="1"/>
  <c r="M403" i="1"/>
  <c r="M395" i="1"/>
  <c r="M347" i="1"/>
  <c r="M339" i="1"/>
  <c r="M331" i="1"/>
  <c r="M283" i="1"/>
  <c r="M275" i="1"/>
  <c r="M267" i="1"/>
  <c r="M211" i="1"/>
  <c r="M203" i="1"/>
  <c r="M99" i="1"/>
  <c r="M445" i="1"/>
  <c r="M571" i="1"/>
  <c r="M563" i="1"/>
  <c r="M555" i="1"/>
  <c r="M507" i="1"/>
  <c r="M499" i="1"/>
  <c r="M491" i="1"/>
  <c r="M467" i="1"/>
  <c r="M443" i="1"/>
  <c r="M435" i="1"/>
  <c r="M427" i="1"/>
  <c r="M379" i="1"/>
  <c r="M371" i="1"/>
  <c r="M363" i="1"/>
  <c r="M315" i="1"/>
  <c r="M307" i="1"/>
  <c r="M299" i="1"/>
  <c r="M251" i="1"/>
  <c r="M243" i="1"/>
  <c r="M235" i="1"/>
  <c r="M219" i="1"/>
  <c r="M187" i="1"/>
  <c r="M179" i="1"/>
  <c r="M163" i="1"/>
  <c r="M147" i="1"/>
  <c r="M139" i="1"/>
  <c r="M123" i="1"/>
  <c r="M115" i="1"/>
  <c r="M83" i="1"/>
  <c r="M618" i="1"/>
  <c r="M8" i="1"/>
  <c r="M585" i="1"/>
  <c r="M425" i="1"/>
  <c r="M361" i="1"/>
  <c r="M201" i="1"/>
  <c r="M89" i="1"/>
  <c r="M73" i="1"/>
  <c r="M57" i="1"/>
  <c r="M41" i="1"/>
  <c r="M25" i="1"/>
  <c r="M616" i="1"/>
  <c r="M552" i="1"/>
  <c r="M328" i="1"/>
  <c r="M256" i="1"/>
  <c r="M200" i="1"/>
  <c r="M136" i="1"/>
  <c r="M128" i="1"/>
  <c r="M56" i="1"/>
  <c r="M40" i="1"/>
  <c r="M24" i="1"/>
  <c r="M329" i="1"/>
  <c r="M153" i="1"/>
  <c r="M137" i="1"/>
  <c r="M584" i="1"/>
  <c r="M424" i="1"/>
  <c r="M360" i="1"/>
  <c r="M296" i="1"/>
  <c r="M288" i="1"/>
  <c r="M192" i="1"/>
  <c r="M168" i="1"/>
  <c r="M152" i="1"/>
  <c r="M112" i="1"/>
  <c r="M104" i="1"/>
  <c r="M88" i="1"/>
  <c r="M130" i="1"/>
  <c r="M7" i="1"/>
  <c r="M498" i="1"/>
  <c r="M66" i="1"/>
  <c r="M392" i="1"/>
  <c r="M617" i="1"/>
  <c r="M265" i="1"/>
  <c r="M210" i="1"/>
  <c r="M393" i="1"/>
  <c r="M209" i="1"/>
  <c r="M586" i="1"/>
  <c r="M490" i="1"/>
  <c r="M338" i="1"/>
  <c r="M160" i="1"/>
  <c r="M543" i="1"/>
  <c r="M47" i="1"/>
  <c r="M502" i="1"/>
  <c r="M350" i="1"/>
  <c r="M199" i="1"/>
  <c r="M458" i="1"/>
  <c r="M334" i="1"/>
  <c r="M142" i="1"/>
  <c r="M457" i="1"/>
  <c r="M278" i="1"/>
  <c r="M544" i="1"/>
  <c r="M434" i="1"/>
  <c r="M266" i="1"/>
  <c r="M72" i="1"/>
  <c r="M606" i="1"/>
  <c r="M527" i="1"/>
  <c r="M489" i="1"/>
  <c r="M433" i="1"/>
  <c r="M374" i="1"/>
  <c r="M330" i="1"/>
  <c r="M247" i="1"/>
  <c r="M198" i="1"/>
  <c r="M42" i="1"/>
  <c r="M599" i="1"/>
  <c r="M567" i="1"/>
  <c r="M526" i="1"/>
  <c r="M488" i="1"/>
  <c r="M370" i="1"/>
  <c r="M320" i="1"/>
  <c r="M246" i="1"/>
  <c r="M178" i="1"/>
  <c r="M105" i="1"/>
  <c r="M34" i="1"/>
  <c r="M598" i="1"/>
  <c r="M562" i="1"/>
  <c r="M522" i="1"/>
  <c r="M423" i="1"/>
  <c r="M369" i="1"/>
  <c r="M298" i="1"/>
  <c r="M32" i="1"/>
  <c r="M594" i="1"/>
  <c r="M521" i="1"/>
  <c r="M422" i="1"/>
  <c r="M368" i="1"/>
  <c r="M297" i="1"/>
  <c r="M238" i="1"/>
  <c r="M167" i="1"/>
  <c r="M593" i="1"/>
  <c r="M560" i="1"/>
  <c r="M503" i="1"/>
  <c r="M462" i="1"/>
  <c r="M416" i="1"/>
  <c r="M352" i="1"/>
  <c r="M166" i="1"/>
  <c r="M94" i="1"/>
  <c r="M11" i="1"/>
  <c r="M575" i="1"/>
  <c r="M535" i="1"/>
  <c r="M463" i="1"/>
  <c r="M383" i="1"/>
  <c r="M335" i="1"/>
  <c r="M279" i="1"/>
  <c r="M231" i="1"/>
  <c r="M159" i="1"/>
  <c r="M135" i="1"/>
  <c r="M119" i="1"/>
  <c r="M95" i="1"/>
  <c r="M79" i="1"/>
  <c r="M55" i="1"/>
  <c r="M31" i="1"/>
  <c r="M23" i="1"/>
  <c r="M582" i="1"/>
  <c r="M566" i="1"/>
  <c r="M558" i="1"/>
  <c r="M518" i="1"/>
  <c r="M494" i="1"/>
  <c r="M486" i="1"/>
  <c r="M478" i="1"/>
  <c r="M470" i="1"/>
  <c r="M454" i="1"/>
  <c r="M430" i="1"/>
  <c r="M414" i="1"/>
  <c r="M318" i="1"/>
  <c r="M310" i="1"/>
  <c r="M190" i="1"/>
  <c r="M158" i="1"/>
  <c r="M150" i="1"/>
  <c r="M134" i="1"/>
  <c r="M78" i="1"/>
  <c r="M38" i="1"/>
  <c r="M581" i="1"/>
  <c r="M573" i="1"/>
  <c r="M557" i="1"/>
  <c r="M541" i="1"/>
  <c r="M517" i="1"/>
  <c r="M501" i="1"/>
  <c r="M493" i="1"/>
  <c r="M485" i="1"/>
  <c r="M469" i="1"/>
  <c r="M461" i="1"/>
  <c r="M453" i="1"/>
  <c r="M437" i="1"/>
  <c r="M429" i="1"/>
  <c r="M421" i="1"/>
  <c r="M405" i="1"/>
  <c r="M397" i="1"/>
  <c r="M389" i="1"/>
  <c r="M365" i="1"/>
  <c r="M357" i="1"/>
  <c r="M349" i="1"/>
  <c r="M333" i="1"/>
  <c r="M325" i="1"/>
  <c r="M317" i="1"/>
  <c r="M301" i="1"/>
  <c r="M293" i="1"/>
  <c r="M285" i="1"/>
  <c r="M269" i="1"/>
  <c r="M261" i="1"/>
  <c r="M253" i="1"/>
  <c r="M245" i="1"/>
  <c r="M237" i="1"/>
  <c r="M229" i="1"/>
  <c r="M213" i="1"/>
  <c r="M205" i="1"/>
  <c r="M197" i="1"/>
  <c r="M189" i="1"/>
  <c r="M181" i="1"/>
  <c r="M173" i="1"/>
  <c r="M165" i="1"/>
  <c r="M157" i="1"/>
  <c r="M149" i="1"/>
  <c r="M141" i="1"/>
  <c r="M133" i="1"/>
  <c r="M125" i="1"/>
  <c r="M117" i="1"/>
  <c r="M109" i="1"/>
  <c r="M101" i="1"/>
  <c r="M93" i="1"/>
  <c r="M85" i="1"/>
  <c r="M77" i="1"/>
  <c r="M69" i="1"/>
  <c r="M61" i="1"/>
  <c r="M53" i="1"/>
  <c r="M45" i="1"/>
  <c r="M37" i="1"/>
  <c r="M29" i="1"/>
  <c r="M439" i="1"/>
  <c r="M358" i="1"/>
  <c r="M270" i="1"/>
  <c r="M222" i="1"/>
  <c r="M182" i="1"/>
  <c r="M127" i="1"/>
  <c r="M71" i="1"/>
  <c r="M607" i="1"/>
  <c r="M591" i="1"/>
  <c r="M559" i="1"/>
  <c r="M495" i="1"/>
  <c r="M471" i="1"/>
  <c r="M455" i="1"/>
  <c r="M431" i="1"/>
  <c r="M391" i="1"/>
  <c r="M367" i="1"/>
  <c r="M319" i="1"/>
  <c r="M287" i="1"/>
  <c r="M239" i="1"/>
  <c r="M207" i="1"/>
  <c r="M614" i="1"/>
  <c r="M590" i="1"/>
  <c r="M574" i="1"/>
  <c r="M542" i="1"/>
  <c r="M534" i="1"/>
  <c r="M406" i="1"/>
  <c r="M398" i="1"/>
  <c r="M390" i="1"/>
  <c r="M382" i="1"/>
  <c r="M366" i="1"/>
  <c r="M342" i="1"/>
  <c r="M294" i="1"/>
  <c r="M286" i="1"/>
  <c r="M262" i="1"/>
  <c r="M254" i="1"/>
  <c r="M230" i="1"/>
  <c r="M206" i="1"/>
  <c r="M174" i="1"/>
  <c r="M118" i="1"/>
  <c r="M110" i="1"/>
  <c r="M102" i="1"/>
  <c r="M86" i="1"/>
  <c r="M62" i="1"/>
  <c r="M54" i="1"/>
  <c r="M46" i="1"/>
  <c r="M30" i="1"/>
  <c r="M22" i="1"/>
  <c r="M14" i="1"/>
  <c r="M326" i="1"/>
  <c r="M549" i="1"/>
  <c r="M509" i="1"/>
  <c r="M21" i="1"/>
  <c r="M6" i="1"/>
  <c r="M612" i="1"/>
  <c r="M604" i="1"/>
  <c r="M596" i="1"/>
  <c r="M588" i="1"/>
  <c r="M580" i="1"/>
  <c r="M572" i="1"/>
  <c r="M564" i="1"/>
  <c r="M556" i="1"/>
  <c r="M548" i="1"/>
  <c r="M540" i="1"/>
  <c r="M532" i="1"/>
  <c r="M524" i="1"/>
  <c r="M516" i="1"/>
  <c r="M508" i="1"/>
  <c r="M500" i="1"/>
  <c r="M492" i="1"/>
  <c r="M484" i="1"/>
  <c r="M476" i="1"/>
  <c r="M468" i="1"/>
  <c r="M460" i="1"/>
  <c r="M452" i="1"/>
  <c r="M444" i="1"/>
  <c r="M436" i="1"/>
  <c r="M428" i="1"/>
  <c r="M420" i="1"/>
  <c r="M412" i="1"/>
  <c r="M404" i="1"/>
  <c r="M396" i="1"/>
  <c r="M388" i="1"/>
  <c r="M380" i="1"/>
  <c r="M372" i="1"/>
  <c r="M364" i="1"/>
  <c r="M356" i="1"/>
  <c r="M348" i="1"/>
  <c r="M340" i="1"/>
  <c r="M332" i="1"/>
  <c r="M324" i="1"/>
  <c r="M316" i="1"/>
  <c r="M308" i="1"/>
  <c r="M300" i="1"/>
  <c r="M292" i="1"/>
  <c r="M284" i="1"/>
  <c r="M276" i="1"/>
  <c r="M268" i="1"/>
  <c r="M260" i="1"/>
  <c r="M252" i="1"/>
  <c r="M244" i="1"/>
  <c r="M236" i="1"/>
  <c r="M228" i="1"/>
  <c r="M220" i="1"/>
  <c r="M212" i="1"/>
  <c r="M204" i="1"/>
  <c r="M196" i="1"/>
  <c r="M188" i="1"/>
  <c r="M180" i="1"/>
  <c r="M172" i="1"/>
  <c r="M164" i="1"/>
  <c r="M156" i="1"/>
  <c r="M148" i="1"/>
  <c r="M140" i="1"/>
  <c r="M132" i="1"/>
  <c r="M124" i="1"/>
  <c r="M116" i="1"/>
  <c r="M108" i="1"/>
  <c r="M100" i="1"/>
  <c r="M92" i="1"/>
  <c r="M84" i="1"/>
  <c r="M76" i="1"/>
  <c r="M68" i="1"/>
  <c r="M60" i="1"/>
  <c r="M52" i="1"/>
  <c r="M44" i="1"/>
  <c r="M36" i="1"/>
  <c r="M28" i="1"/>
  <c r="M20" i="1"/>
  <c r="M12" i="1"/>
  <c r="M550" i="1"/>
  <c r="M487" i="1"/>
  <c r="M438" i="1"/>
  <c r="M399" i="1"/>
  <c r="M303" i="1"/>
  <c r="M215" i="1"/>
  <c r="M126" i="1"/>
  <c r="M70" i="1"/>
  <c r="M446" i="1"/>
  <c r="M271" i="1"/>
  <c r="M183" i="1"/>
  <c r="M613" i="1"/>
  <c r="M605" i="1"/>
  <c r="M589" i="1"/>
  <c r="M525" i="1"/>
  <c r="M13" i="1"/>
  <c r="M510" i="1"/>
  <c r="M351" i="1"/>
  <c r="M302" i="1"/>
  <c r="M214" i="1"/>
  <c r="M611" i="1"/>
  <c r="M483" i="1"/>
  <c r="M419" i="1"/>
  <c r="M195" i="1"/>
  <c r="M171" i="1"/>
  <c r="M155" i="1"/>
  <c r="M107" i="1"/>
  <c r="M91" i="1"/>
  <c r="M67" i="1"/>
  <c r="M43" i="1"/>
  <c r="M610" i="1"/>
  <c r="M602" i="1"/>
  <c r="M578" i="1"/>
  <c r="M570" i="1"/>
  <c r="M546" i="1"/>
  <c r="M538" i="1"/>
  <c r="M514" i="1"/>
  <c r="M506" i="1"/>
  <c r="M482" i="1"/>
  <c r="M474" i="1"/>
  <c r="M450" i="1"/>
  <c r="M442" i="1"/>
  <c r="M418" i="1"/>
  <c r="M410" i="1"/>
  <c r="M386" i="1"/>
  <c r="M378" i="1"/>
  <c r="M354" i="1"/>
  <c r="M346" i="1"/>
  <c r="M322" i="1"/>
  <c r="M314" i="1"/>
  <c r="M290" i="1"/>
  <c r="M282" i="1"/>
  <c r="M258" i="1"/>
  <c r="M250" i="1"/>
  <c r="M226" i="1"/>
  <c r="M218" i="1"/>
  <c r="M194" i="1"/>
  <c r="M170" i="1"/>
  <c r="M50" i="1"/>
  <c r="M18" i="1"/>
  <c r="M592" i="1"/>
  <c r="M520" i="1"/>
  <c r="M496" i="1"/>
  <c r="M456" i="1"/>
  <c r="M432" i="1"/>
  <c r="M337" i="1"/>
  <c r="M264" i="1"/>
  <c r="M233" i="1"/>
  <c r="M177" i="1"/>
  <c r="M146" i="1"/>
  <c r="M121" i="1"/>
  <c r="M547" i="1"/>
  <c r="M451" i="1"/>
  <c r="M387" i="1"/>
  <c r="M323" i="1"/>
  <c r="M227" i="1"/>
  <c r="M59" i="1"/>
  <c r="M27" i="1"/>
  <c r="M601" i="1"/>
  <c r="M569" i="1"/>
  <c r="M537" i="1"/>
  <c r="M505" i="1"/>
  <c r="M473" i="1"/>
  <c r="M441" i="1"/>
  <c r="M409" i="1"/>
  <c r="M377" i="1"/>
  <c r="M345" i="1"/>
  <c r="M313" i="1"/>
  <c r="M281" i="1"/>
  <c r="M249" i="1"/>
  <c r="M217" i="1"/>
  <c r="M185" i="1"/>
  <c r="M145" i="1"/>
  <c r="M65" i="1"/>
  <c r="M49" i="1"/>
  <c r="M33" i="1"/>
  <c r="M17" i="1"/>
  <c r="M554" i="1"/>
  <c r="M402" i="1"/>
  <c r="M384" i="1"/>
  <c r="M336" i="1"/>
  <c r="M232" i="1"/>
  <c r="M176" i="1"/>
  <c r="M144" i="1"/>
  <c r="M82" i="1"/>
  <c r="M579" i="1"/>
  <c r="M515" i="1"/>
  <c r="M355" i="1"/>
  <c r="M291" i="1"/>
  <c r="M259" i="1"/>
  <c r="M131" i="1"/>
  <c r="M75" i="1"/>
  <c r="M51" i="1"/>
  <c r="M35" i="1"/>
  <c r="M19" i="1"/>
  <c r="M600" i="1"/>
  <c r="M568" i="1"/>
  <c r="M536" i="1"/>
  <c r="M504" i="1"/>
  <c r="M472" i="1"/>
  <c r="M464" i="1"/>
  <c r="M440" i="1"/>
  <c r="M408" i="1"/>
  <c r="M376" i="1"/>
  <c r="M344" i="1"/>
  <c r="M312" i="1"/>
  <c r="M280" i="1"/>
  <c r="M272" i="1"/>
  <c r="M248" i="1"/>
  <c r="M240" i="1"/>
  <c r="M216" i="1"/>
  <c r="M208" i="1"/>
  <c r="M184" i="1"/>
  <c r="M120" i="1"/>
  <c r="M96" i="1"/>
  <c r="M80" i="1"/>
  <c r="M64" i="1"/>
  <c r="M16" i="1"/>
  <c r="M553" i="1"/>
  <c r="M401" i="1"/>
  <c r="M304" i="1"/>
  <c r="M169" i="1"/>
  <c r="M106" i="1"/>
  <c r="M81" i="1"/>
  <c r="M48" i="1"/>
  <c r="O16" i="1" l="1"/>
  <c r="O18" i="1" s="1"/>
  <c r="O14" i="1"/>
  <c r="O2" i="1"/>
  <c r="O5" i="1"/>
  <c r="P14" i="1"/>
  <c r="P16" i="1" l="1"/>
</calcChain>
</file>

<file path=xl/sharedStrings.xml><?xml version="1.0" encoding="utf-8"?>
<sst xmlns="http://schemas.openxmlformats.org/spreadsheetml/2006/main" count="8013" uniqueCount="1191">
  <si>
    <t>Transaction ID</t>
  </si>
  <si>
    <t>Customer ID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</si>
  <si>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</si>
  <si>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</si>
  <si>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</si>
  <si>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</si>
  <si>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</si>
  <si>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</si>
  <si>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</si>
  <si>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</si>
  <si>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Unit price Category</t>
  </si>
  <si>
    <t>TXN_6867343</t>
  </si>
  <si>
    <t>CUST_09</t>
  </si>
  <si>
    <t>Patisserie</t>
  </si>
  <si>
    <t>Item_10_PAT</t>
  </si>
  <si>
    <t>Digital Wallet</t>
  </si>
  <si>
    <t>Online</t>
  </si>
  <si>
    <t>HIGH</t>
  </si>
  <si>
    <t>TXN_3731986</t>
  </si>
  <si>
    <t>CUST_22</t>
  </si>
  <si>
    <t>Milk Products</t>
  </si>
  <si>
    <t>Item_17_MILK</t>
  </si>
  <si>
    <t>7/23/2023</t>
  </si>
  <si>
    <t>TXN_9458126</t>
  </si>
  <si>
    <t>CUST_06</t>
  </si>
  <si>
    <t>Beverages</t>
  </si>
  <si>
    <t>Item_16_BEV</t>
  </si>
  <si>
    <t>Credit Card</t>
  </si>
  <si>
    <t>TXN_4575373</t>
  </si>
  <si>
    <t>CUST_05</t>
  </si>
  <si>
    <t>Food</t>
  </si>
  <si>
    <t>Item_6_FOOD</t>
  </si>
  <si>
    <t>LOW</t>
  </si>
  <si>
    <t>TXN_7482416</t>
  </si>
  <si>
    <t>11/30/2023</t>
  </si>
  <si>
    <t>MID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</si>
  <si>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</si>
  <si>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</si>
  <si>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</si>
  <si>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</si>
  <si>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</si>
  <si>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</si>
  <si>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</si>
  <si>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</si>
  <si>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</si>
  <si>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</si>
  <si>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4/26/2023</t>
  </si>
  <si>
    <t>TXN_2722661</t>
  </si>
  <si>
    <t>CUST_25</t>
  </si>
  <si>
    <t>Butchers</t>
  </si>
  <si>
    <t>Item_22_BUT</t>
  </si>
  <si>
    <t>Cash</t>
  </si>
  <si>
    <t>3/14/2024</t>
  </si>
  <si>
    <t>TXN_8776416</t>
  </si>
  <si>
    <t>Item_3_BUT</t>
  </si>
  <si>
    <t>12/14/2024</t>
  </si>
  <si>
    <t>TXN_5422631</t>
  </si>
  <si>
    <t>TXN_5874772</t>
  </si>
  <si>
    <t>Item_2_FOOD</t>
  </si>
  <si>
    <t>TXN_4413070</t>
  </si>
  <si>
    <t>CUST_14</t>
  </si>
  <si>
    <t>Item_24_PAT</t>
  </si>
  <si>
    <t>5/20/2022</t>
  </si>
  <si>
    <t>TXN_2490363</t>
  </si>
  <si>
    <t>Item_16_MILK</t>
  </si>
  <si>
    <t>5/22/2022</t>
  </si>
  <si>
    <t>TXN_1809665</t>
  </si>
  <si>
    <t>TXN_7563311</t>
  </si>
  <si>
    <t>Item_17_PAT</t>
  </si>
  <si>
    <t>11/16/2024</t>
  </si>
  <si>
    <t>TXN_9634894</t>
  </si>
  <si>
    <t>CUST_15</t>
  </si>
  <si>
    <t>4/17/2022</t>
  </si>
  <si>
    <t>TXN_4396807</t>
  </si>
  <si>
    <t>CUST_17</t>
  </si>
  <si>
    <t>Electric household essentials</t>
  </si>
  <si>
    <t>Item_13_EHE</t>
  </si>
  <si>
    <t>TXN_4206593</t>
  </si>
  <si>
    <t>CUST_01</t>
  </si>
  <si>
    <t>1/13/2025</t>
  </si>
  <si>
    <t>TXN_9939063</t>
  </si>
  <si>
    <t>Item_7_BEV</t>
  </si>
  <si>
    <t>1/14/2024</t>
  </si>
  <si>
    <t>TXN_8685338</t>
  </si>
  <si>
    <t>10/29/2023</t>
  </si>
  <si>
    <t>TXN_6547964</t>
  </si>
  <si>
    <t>CUST_10</t>
  </si>
  <si>
    <t>Item_4_EHE</t>
  </si>
  <si>
    <t>8/15/2022</t>
  </si>
  <si>
    <t>TXN_3314099</t>
  </si>
  <si>
    <t>CUST_04</t>
  </si>
  <si>
    <t>Item_10_FOOD</t>
  </si>
  <si>
    <t>9/30/2023</t>
  </si>
  <si>
    <t>TXN_9980736</t>
  </si>
  <si>
    <t>CUST_13</t>
  </si>
  <si>
    <t>Item_14_FUR</t>
  </si>
  <si>
    <t>8/29/2023</t>
  </si>
  <si>
    <t>TXN_3481599</t>
  </si>
  <si>
    <t>TXN_9057609</t>
  </si>
  <si>
    <t>CUST_18</t>
  </si>
  <si>
    <t>Item_20_BUT</t>
  </si>
  <si>
    <t>3/16/2022</t>
  </si>
  <si>
    <t>TXN_1599706</t>
  </si>
  <si>
    <t>Item_25_FUR</t>
  </si>
  <si>
    <t>3/24/2024</t>
  </si>
  <si>
    <t>TXN_1598860</t>
  </si>
  <si>
    <t>CUST_08</t>
  </si>
  <si>
    <t>Item_14_FOOD</t>
  </si>
  <si>
    <t>10/23/2022</t>
  </si>
  <si>
    <t>TXN_7138501</t>
  </si>
  <si>
    <t>Item_22_PAT</t>
  </si>
  <si>
    <t>TXN_5444504</t>
  </si>
  <si>
    <t>Item_11_FOOD</t>
  </si>
  <si>
    <t>4/26/2022</t>
  </si>
  <si>
    <t>TXN_4353295</t>
  </si>
  <si>
    <t>Item_6_PAT</t>
  </si>
  <si>
    <t>TXN_1543244</t>
  </si>
  <si>
    <t>CUST_20</t>
  </si>
  <si>
    <t>10/25/2024</t>
  </si>
  <si>
    <t>TXN_1494700</t>
  </si>
  <si>
    <t>CUST_12</t>
  </si>
  <si>
    <t>Item_21_EHE</t>
  </si>
  <si>
    <t>TXN_1621497</t>
  </si>
  <si>
    <t>2/18/2023</t>
  </si>
  <si>
    <t>TXN_6398436</t>
  </si>
  <si>
    <t>Item_25_BEV</t>
  </si>
  <si>
    <t>TXN_9065245</t>
  </si>
  <si>
    <t>CUST_02</t>
  </si>
  <si>
    <t>Item_23_FOOD</t>
  </si>
  <si>
    <t>TXN_6963438</t>
  </si>
  <si>
    <t>CUST_11</t>
  </si>
  <si>
    <t>Item_10_FUR</t>
  </si>
  <si>
    <t>4/23/2024</t>
  </si>
  <si>
    <t>TXN_8312797</t>
  </si>
  <si>
    <t>Item_11_BEV</t>
  </si>
  <si>
    <t>TXN_5836005</t>
  </si>
  <si>
    <t>CUST_19</t>
  </si>
  <si>
    <t>Item_23_BUT</t>
  </si>
  <si>
    <t>10/19/2024</t>
  </si>
  <si>
    <t>TXN_4223250</t>
  </si>
  <si>
    <t>CUST_16</t>
  </si>
  <si>
    <t>Item_22_BEV</t>
  </si>
  <si>
    <t>5/31/2023</t>
  </si>
  <si>
    <t>TXN_1019817</t>
  </si>
  <si>
    <t>Item_10_EHE</t>
  </si>
  <si>
    <t>TXN_1110407</t>
  </si>
  <si>
    <t>Item_24_BUT</t>
  </si>
  <si>
    <t>10/21/2022</t>
  </si>
  <si>
    <t>TXN_6276518</t>
  </si>
  <si>
    <t>CUST_24</t>
  </si>
  <si>
    <t>Item_8_BEV</t>
  </si>
  <si>
    <t>TXN_4740738</t>
  </si>
  <si>
    <t>Item_3_FOOD</t>
  </si>
  <si>
    <t>4/19/2022</t>
  </si>
  <si>
    <t>TXN_9587232</t>
  </si>
  <si>
    <t>Item_12_FOOD</t>
  </si>
  <si>
    <t>2/28/2023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</si>
  <si>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</si>
  <si>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</si>
  <si>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</si>
  <si>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</si>
  <si>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</si>
  <si>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</si>
  <si>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</si>
  <si>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12/31/2024</t>
  </si>
  <si>
    <t>TXN_8425168</t>
  </si>
  <si>
    <t>TXN_5379241</t>
  </si>
  <si>
    <t>TXN_8413369</t>
  </si>
  <si>
    <t>Item_5_CEA</t>
  </si>
  <si>
    <t>TXN_4836321</t>
  </si>
  <si>
    <t>1/14/2023</t>
  </si>
  <si>
    <t>TXN_9451794</t>
  </si>
  <si>
    <t>Item_19_MILK</t>
  </si>
  <si>
    <t>1/28/2024</t>
  </si>
  <si>
    <t>TXN_8218431</t>
  </si>
  <si>
    <t>Item_23_FUR</t>
  </si>
  <si>
    <t>4/29/2023</t>
  </si>
  <si>
    <t>TXN_2383377</t>
  </si>
  <si>
    <t>Item_7_FUR</t>
  </si>
  <si>
    <t>TXN_7909783</t>
  </si>
  <si>
    <t>12/17/2023</t>
  </si>
  <si>
    <t>TXN_5046007</t>
  </si>
  <si>
    <t>Item_15_CEA</t>
  </si>
  <si>
    <t>7/22/2024</t>
  </si>
  <si>
    <t>TXN_6966182</t>
  </si>
  <si>
    <t>TXN_3424571</t>
  </si>
  <si>
    <t>Item_6_MILK</t>
  </si>
  <si>
    <t>1/13/2023</t>
  </si>
  <si>
    <t>TXN_6820452</t>
  </si>
  <si>
    <t>Item_24_CEA</t>
  </si>
  <si>
    <t>4/18/2023</t>
  </si>
  <si>
    <t>TXN_1998771</t>
  </si>
  <si>
    <t>TXN_1132097</t>
  </si>
  <si>
    <t>5/18/2023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</si>
  <si>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</si>
  <si>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</si>
  <si>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</si>
  <si>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</si>
  <si>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</si>
  <si>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</si>
  <si>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</si>
  <si>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</si>
  <si>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</si>
  <si>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</si>
  <si>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11/27/2023</t>
  </si>
  <si>
    <t>TXN_2719047</t>
  </si>
  <si>
    <t>CUST_03</t>
  </si>
  <si>
    <t>11/21/2023</t>
  </si>
  <si>
    <t>TXN_9908330</t>
  </si>
  <si>
    <t>Item_18_FOOD</t>
  </si>
  <si>
    <t>9/29/2022</t>
  </si>
  <si>
    <t>TXN_2016332</t>
  </si>
  <si>
    <t>Item_1_PAT</t>
  </si>
  <si>
    <t>12/17/2022</t>
  </si>
  <si>
    <t>TXN_7363165</t>
  </si>
  <si>
    <t>Item_4_BEV</t>
  </si>
  <si>
    <t>3/25/2023</t>
  </si>
  <si>
    <t>TXN_1260450</t>
  </si>
  <si>
    <t>Item_22_FUR</t>
  </si>
  <si>
    <t>12/24/2023</t>
  </si>
  <si>
    <t>TXN_6315447</t>
  </si>
  <si>
    <t>Item_7_PAT</t>
  </si>
  <si>
    <t>TXN_5973228</t>
  </si>
  <si>
    <t>12/25/2023</t>
  </si>
  <si>
    <t>TXN_2780662</t>
  </si>
  <si>
    <t>1/19/2023</t>
  </si>
  <si>
    <t>TXN_1142481</t>
  </si>
  <si>
    <t>TXN_3933685</t>
  </si>
  <si>
    <t>Item_20_CEA</t>
  </si>
  <si>
    <t>4/15/2022</t>
  </si>
  <si>
    <t>TXN_8955685</t>
  </si>
  <si>
    <t>Item_20_FOOD</t>
  </si>
  <si>
    <t>4/24/2023</t>
  </si>
  <si>
    <t>TXN_1061030</t>
  </si>
  <si>
    <t>7/14/2024</t>
  </si>
  <si>
    <t>TXN_7821493</t>
  </si>
  <si>
    <t>12/17/2024</t>
  </si>
  <si>
    <t>TXN_8114453</t>
  </si>
  <si>
    <t>TXN_8024803</t>
  </si>
  <si>
    <t>Item_11_FUR</t>
  </si>
  <si>
    <t>8/22/2024</t>
  </si>
  <si>
    <t>TXN_4532214</t>
  </si>
  <si>
    <t>3/25/2024</t>
  </si>
  <si>
    <t>TXN_5062634</t>
  </si>
  <si>
    <t>Item_25_PAT</t>
  </si>
  <si>
    <t>TXN_8244728</t>
  </si>
  <si>
    <t>Item_7_FOOD</t>
  </si>
  <si>
    <t>4/27/2024</t>
  </si>
  <si>
    <t>TXN_3858145</t>
  </si>
  <si>
    <t>Item_21_FUR</t>
  </si>
  <si>
    <t>TXN_2646301</t>
  </si>
  <si>
    <t>Item_24_FUR</t>
  </si>
  <si>
    <t>TXN_2414530</t>
  </si>
  <si>
    <t>Item_8_MILK</t>
  </si>
  <si>
    <t>6/20/2024</t>
  </si>
  <si>
    <t>TXN_8322008</t>
  </si>
  <si>
    <t>Item_4_FOOD</t>
  </si>
  <si>
    <t>8/20/2024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</si>
  <si>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</si>
  <si>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</si>
  <si>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</si>
  <si>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</si>
  <si>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</si>
  <si>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</si>
  <si>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</si>
  <si>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3/27/2024</t>
  </si>
  <si>
    <t>TXN_5938028</t>
  </si>
  <si>
    <t>Item_7_CEA</t>
  </si>
  <si>
    <t>2/20/2023</t>
  </si>
  <si>
    <t>TXN_1958345</t>
  </si>
  <si>
    <t>6/28/2024</t>
  </si>
  <si>
    <t>TXN_1528585</t>
  </si>
  <si>
    <t>Item_6_EHE</t>
  </si>
  <si>
    <t>9/17/2024</t>
  </si>
  <si>
    <t>TXN_9619859</t>
  </si>
  <si>
    <t>Item_21_BUT</t>
  </si>
  <si>
    <t>TXN_6158929</t>
  </si>
  <si>
    <t>1/29/2022</t>
  </si>
  <si>
    <t>TXN_7209607</t>
  </si>
  <si>
    <t>8/25/2023</t>
  </si>
  <si>
    <t>TXN_5328604</t>
  </si>
  <si>
    <t>TXN_4324641</t>
  </si>
  <si>
    <t>Item_16_PAT</t>
  </si>
  <si>
    <t>TXN_9464391</t>
  </si>
  <si>
    <t>11/17/2023</t>
  </si>
  <si>
    <t>TXN_2940500</t>
  </si>
  <si>
    <t>Item_25_CEA</t>
  </si>
  <si>
    <t>TXN_1945960</t>
  </si>
  <si>
    <t>Item_8_BUT</t>
  </si>
  <si>
    <t>TXN_8219228</t>
  </si>
  <si>
    <t>Item_10_CEA</t>
  </si>
  <si>
    <t>5/27/2022</t>
  </si>
  <si>
    <t>TXN_5471094</t>
  </si>
  <si>
    <t>8/24/2022</t>
  </si>
  <si>
    <t>TXN_9255329</t>
  </si>
  <si>
    <t>TXN_9279462</t>
  </si>
  <si>
    <t>Item_5_FUR</t>
  </si>
  <si>
    <t>TXN_7956502</t>
  </si>
  <si>
    <t>4/30/2024</t>
  </si>
  <si>
    <t>TXN_1352831</t>
  </si>
  <si>
    <t>10/31/2023</t>
  </si>
  <si>
    <t>TXN_4372655</t>
  </si>
  <si>
    <t>Item_9_FOOD</t>
  </si>
  <si>
    <t>TXN_5419965</t>
  </si>
  <si>
    <t>1/16/2024</t>
  </si>
  <si>
    <t>TXN_7655704</t>
  </si>
  <si>
    <t>Item_21_CEA</t>
  </si>
  <si>
    <t>TXN_8210621</t>
  </si>
  <si>
    <t>TXN_6908058</t>
  </si>
  <si>
    <t>Item_8_CEA</t>
  </si>
  <si>
    <t>7/22/2023</t>
  </si>
  <si>
    <t>TXN_9204828</t>
  </si>
  <si>
    <t>TXN_3208232</t>
  </si>
  <si>
    <t>Item_8_EHE</t>
  </si>
  <si>
    <t>1/13/2024</t>
  </si>
  <si>
    <t>TXN_8586300</t>
  </si>
  <si>
    <t>TXN_2212643</t>
  </si>
  <si>
    <t>12/29/2022</t>
  </si>
  <si>
    <t>TXN_8215469</t>
  </si>
  <si>
    <t>Item_23_MILK</t>
  </si>
  <si>
    <t>3/16/2024</t>
  </si>
  <si>
    <t>TXN_3403695</t>
  </si>
  <si>
    <t>Item_23_BEV</t>
  </si>
  <si>
    <t>9/27/2024</t>
  </si>
  <si>
    <t>TXN_2878134</t>
  </si>
  <si>
    <t>TXN_3123571</t>
  </si>
  <si>
    <t>TXN_9940030</t>
  </si>
  <si>
    <t>Item_19_BEV</t>
  </si>
  <si>
    <t>1/19/2022</t>
  </si>
  <si>
    <t>TXN_6195024</t>
  </si>
  <si>
    <t>Item_20_BEV</t>
  </si>
  <si>
    <t>TXN_5243520</t>
  </si>
  <si>
    <t>5/16/2024</t>
  </si>
  <si>
    <t>TXN_4608122</t>
  </si>
  <si>
    <t>TXN_6923419</t>
  </si>
  <si>
    <t>6/28/2022</t>
  </si>
  <si>
    <t>TXN_1112365</t>
  </si>
  <si>
    <t>Item_24_FOOD</t>
  </si>
  <si>
    <t>9/24/2023</t>
  </si>
  <si>
    <t>TXN_6989569</t>
  </si>
  <si>
    <t>Item_21_MILK</t>
  </si>
  <si>
    <t>1/17/2022</t>
  </si>
  <si>
    <t>TXN_5647023</t>
  </si>
  <si>
    <t>4/14/2022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</si>
  <si>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</si>
  <si>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</si>
  <si>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</si>
  <si>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</si>
  <si>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</si>
  <si>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</si>
  <si>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</si>
  <si>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3/21/2024</t>
  </si>
  <si>
    <t>TXN_4633046</t>
  </si>
  <si>
    <t>Item_2_CEA</t>
  </si>
  <si>
    <t>TXN_3519817</t>
  </si>
  <si>
    <t>Item_18_BUT</t>
  </si>
  <si>
    <t>6/14/2022</t>
  </si>
  <si>
    <t>TXN_1154680</t>
  </si>
  <si>
    <t>12/18/2022</t>
  </si>
  <si>
    <t>TXN_9177662</t>
  </si>
  <si>
    <t>9/30/2024</t>
  </si>
  <si>
    <t>TXN_4801202</t>
  </si>
  <si>
    <t>Item_1_FUR</t>
  </si>
  <si>
    <t>5/31/2024</t>
  </si>
  <si>
    <t>TXN_6149882</t>
  </si>
  <si>
    <t>1/22/2023</t>
  </si>
  <si>
    <t>TXN_8809000</t>
  </si>
  <si>
    <t>Item_3_MILK</t>
  </si>
  <si>
    <t>TXN_5008001</t>
  </si>
  <si>
    <t>TXN_5111184</t>
  </si>
  <si>
    <t>Item_11_MILK</t>
  </si>
  <si>
    <t>7/18/2024</t>
  </si>
  <si>
    <t>TXN_1499774</t>
  </si>
  <si>
    <t>12/15/2022</t>
  </si>
  <si>
    <t>TXN_2565828</t>
  </si>
  <si>
    <t>2/18/2022</t>
  </si>
  <si>
    <t>TXN_6312937</t>
  </si>
  <si>
    <t>Item_13_CEA</t>
  </si>
  <si>
    <t>TXN_8775503</t>
  </si>
  <si>
    <t>Item_6_CEA</t>
  </si>
  <si>
    <t>TXN_3541663</t>
  </si>
  <si>
    <t>Item_2_FUR</t>
  </si>
  <si>
    <t>7/19/2023</t>
  </si>
  <si>
    <t>TXN_4947386</t>
  </si>
  <si>
    <t>TXN_4276451</t>
  </si>
  <si>
    <t>5/27/2024</t>
  </si>
  <si>
    <t>TXN_3380295</t>
  </si>
  <si>
    <t>TXN_1390866</t>
  </si>
  <si>
    <t>3/30/2024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</si>
  <si>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</si>
  <si>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</si>
  <si>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</si>
  <si>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</si>
  <si>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</si>
  <si>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</si>
  <si>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</si>
  <si>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8/23/2023</t>
  </si>
  <si>
    <t>TXN_5256349</t>
  </si>
  <si>
    <t>Item_2_BEV</t>
  </si>
  <si>
    <t>9/27/2022</t>
  </si>
  <si>
    <t>TXN_3822751</t>
  </si>
  <si>
    <t>TXN_1882210</t>
  </si>
  <si>
    <t>TXN_9209383</t>
  </si>
  <si>
    <t>Item_7_EHE</t>
  </si>
  <si>
    <t>9/16/2024</t>
  </si>
  <si>
    <t>TXN_2196324</t>
  </si>
  <si>
    <t>TXN_7020797</t>
  </si>
  <si>
    <t>4/20/2024</t>
  </si>
  <si>
    <t>TXN_7594834</t>
  </si>
  <si>
    <t>TXN_3229559</t>
  </si>
  <si>
    <t>TXN_1336269</t>
  </si>
  <si>
    <t>12/25/2024</t>
  </si>
  <si>
    <t>TXN_2479337</t>
  </si>
  <si>
    <t>TXN_8784273</t>
  </si>
  <si>
    <t>Item_14_CEA</t>
  </si>
  <si>
    <t>TXN_7771182</t>
  </si>
  <si>
    <t>Item_19_EHE</t>
  </si>
  <si>
    <t>1/20/2022</t>
  </si>
  <si>
    <t>TXN_1132339</t>
  </si>
  <si>
    <t>TXN_8283332</t>
  </si>
  <si>
    <t>11/13/2023</t>
  </si>
  <si>
    <t>TXN_9496190</t>
  </si>
  <si>
    <t>Item_18_CEA</t>
  </si>
  <si>
    <t>2/24/2024</t>
  </si>
  <si>
    <t>TXN_5205620</t>
  </si>
  <si>
    <t>6/26/2023</t>
  </si>
  <si>
    <t>TXN_4448047</t>
  </si>
  <si>
    <t>6/15/2022</t>
  </si>
  <si>
    <t>TXN_2163190</t>
  </si>
  <si>
    <t>5/30/2022</t>
  </si>
  <si>
    <t>TXN_3338914</t>
  </si>
  <si>
    <t>5/29/2024</t>
  </si>
  <si>
    <t>TXN_8959624</t>
  </si>
  <si>
    <t>12/18/2024</t>
  </si>
  <si>
    <t>TXN_1821423</t>
  </si>
  <si>
    <t>1/13/2022</t>
  </si>
  <si>
    <t>TXN_1175914</t>
  </si>
  <si>
    <t>5/19/2023</t>
  </si>
  <si>
    <t>TXN_9760482</t>
  </si>
  <si>
    <t>Item_11_CEA</t>
  </si>
  <si>
    <t>TXN_8460432</t>
  </si>
  <si>
    <t>TXN_9610555</t>
  </si>
  <si>
    <t>11/15/2022</t>
  </si>
  <si>
    <t>TXN_8136588</t>
  </si>
  <si>
    <t>10/24/2022</t>
  </si>
  <si>
    <t>TXN_6630594</t>
  </si>
  <si>
    <t>TXN_4844684</t>
  </si>
  <si>
    <t>7/23/2022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</si>
  <si>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</si>
  <si>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</si>
  <si>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</si>
  <si>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</si>
  <si>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</si>
  <si>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</si>
  <si>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</si>
  <si>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</si>
  <si>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</si>
  <si>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</si>
  <si>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</si>
  <si>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</si>
  <si>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3/21/2022</t>
  </si>
  <si>
    <t>TXN_2755139</t>
  </si>
  <si>
    <t>12/19/2023</t>
  </si>
  <si>
    <t>TXN_1484334</t>
  </si>
  <si>
    <t>Item_7_BUT</t>
  </si>
  <si>
    <t>3/19/2023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</si>
  <si>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</si>
  <si>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</si>
  <si>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</si>
  <si>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</si>
  <si>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</si>
  <si>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</si>
  <si>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</si>
  <si>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</si>
  <si>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7/17/2023</t>
  </si>
  <si>
    <t>TXN_8777313</t>
  </si>
  <si>
    <t>Item_25_FOOD</t>
  </si>
  <si>
    <t>4/20/2023</t>
  </si>
  <si>
    <t>TXN_2690179</t>
  </si>
  <si>
    <t>Item_12_EHE</t>
  </si>
  <si>
    <t>TXN_2795990</t>
  </si>
  <si>
    <t>Item_22_EHE</t>
  </si>
  <si>
    <t>7/15/2024</t>
  </si>
  <si>
    <t>TXN_1402493</t>
  </si>
  <si>
    <t>11/27/2024</t>
  </si>
  <si>
    <t>TXN_2438514</t>
  </si>
  <si>
    <t>Item_13_PAT</t>
  </si>
  <si>
    <t>2/13/2024</t>
  </si>
  <si>
    <t>TXN_6229786</t>
  </si>
  <si>
    <t>TXN_6490151</t>
  </si>
  <si>
    <t>10/17/2024</t>
  </si>
  <si>
    <t>TXN_9331694</t>
  </si>
  <si>
    <t>TXN_8547389</t>
  </si>
  <si>
    <t>Item_17_EHE</t>
  </si>
  <si>
    <t>5/26/2022</t>
  </si>
  <si>
    <t>TXN_7324151</t>
  </si>
  <si>
    <t>8/30/2024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</si>
  <si>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</si>
  <si>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</si>
  <si>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</si>
  <si>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</si>
  <si>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</si>
  <si>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</si>
  <si>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</si>
  <si>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</si>
  <si>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</si>
  <si>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10/16/2024</t>
  </si>
  <si>
    <t>TXN_1722933</t>
  </si>
  <si>
    <t>TXN_5846723</t>
  </si>
  <si>
    <t>TXN_8759839</t>
  </si>
  <si>
    <t>Item_2_MILK</t>
  </si>
  <si>
    <t>TXN_1747548</t>
  </si>
  <si>
    <t>TXN_2202698</t>
  </si>
  <si>
    <t>8/18/2022</t>
  </si>
  <si>
    <t>TXN_7296074</t>
  </si>
  <si>
    <t>TXN_8786633</t>
  </si>
  <si>
    <t>9/14/2022</t>
  </si>
  <si>
    <t>TXN_4174281</t>
  </si>
  <si>
    <t>Item_1_BUT</t>
  </si>
  <si>
    <t>TXN_3866783</t>
  </si>
  <si>
    <t>3/27/2022</t>
  </si>
  <si>
    <t>TXN_9048177</t>
  </si>
  <si>
    <t>TXN_8842339</t>
  </si>
  <si>
    <t>Item_12_BEV</t>
  </si>
  <si>
    <t>5/14/2023</t>
  </si>
  <si>
    <t>TXN_6288602</t>
  </si>
  <si>
    <t>11/28/2023</t>
  </si>
  <si>
    <t>TXN_3805794</t>
  </si>
  <si>
    <t>8/29/2024</t>
  </si>
  <si>
    <t>TXN_5488509</t>
  </si>
  <si>
    <t>TXN_1811555</t>
  </si>
  <si>
    <t>7/31/2023</t>
  </si>
  <si>
    <t>TXN_4878744</t>
  </si>
  <si>
    <t>6/26/2022</t>
  </si>
  <si>
    <t>TXN_9246169</t>
  </si>
  <si>
    <t>8/16/2023</t>
  </si>
  <si>
    <t>TXN_3303186</t>
  </si>
  <si>
    <t>Item_5_FOOD</t>
  </si>
  <si>
    <t>TXN_8503614</t>
  </si>
  <si>
    <t>12/14/2022</t>
  </si>
  <si>
    <t>TXN_7214951</t>
  </si>
  <si>
    <t>TXN_7423171</t>
  </si>
  <si>
    <t>9/13/2024</t>
  </si>
  <si>
    <t>TXN_1583510</t>
  </si>
  <si>
    <t>1/29/2024</t>
  </si>
  <si>
    <t>TXN_7443511</t>
  </si>
  <si>
    <t>TXN_4394615</t>
  </si>
  <si>
    <t>10/20/2024</t>
  </si>
  <si>
    <t>TXN_3755291</t>
  </si>
  <si>
    <t>TXN_3557501</t>
  </si>
  <si>
    <t>TXN_9827245</t>
  </si>
  <si>
    <t>TXN_3187729</t>
  </si>
  <si>
    <t>Item_25_EHE</t>
  </si>
  <si>
    <t>6/25/2024</t>
  </si>
  <si>
    <t>TXN_9667841</t>
  </si>
  <si>
    <t>TXN_3433195</t>
  </si>
  <si>
    <t>3/30/2023</t>
  </si>
  <si>
    <t>TXN_4731761</t>
  </si>
  <si>
    <t>8/19/2024</t>
  </si>
  <si>
    <t>TXN_6339738</t>
  </si>
  <si>
    <t>Item_12_BUT</t>
  </si>
  <si>
    <t>TXN_8912717</t>
  </si>
  <si>
    <t>7/28/2022</t>
  </si>
  <si>
    <t>TXN_9840878</t>
  </si>
  <si>
    <t>Item_9_CEA</t>
  </si>
  <si>
    <t>10/17/2023</t>
  </si>
  <si>
    <t>TXN_8186195</t>
  </si>
  <si>
    <t>2/19/2023</t>
  </si>
  <si>
    <t>TXN_9410785</t>
  </si>
  <si>
    <t>TXN_1536301</t>
  </si>
  <si>
    <t>TXN_6001621</t>
  </si>
  <si>
    <t>TXN_2077907</t>
  </si>
  <si>
    <t>6/20/2022</t>
  </si>
  <si>
    <t>TXN_6429566</t>
  </si>
  <si>
    <t>TXN_4476611</t>
  </si>
  <si>
    <t>TXN_9130896</t>
  </si>
  <si>
    <t>5/17/2022</t>
  </si>
  <si>
    <t>TXN_4547031</t>
  </si>
  <si>
    <t>TXN_6923046</t>
  </si>
  <si>
    <t>8/22/2023</t>
  </si>
  <si>
    <t>TXN_5461118</t>
  </si>
  <si>
    <t>TXN_8574406</t>
  </si>
  <si>
    <t>5/23/2024</t>
  </si>
  <si>
    <t>TXN_4459526</t>
  </si>
  <si>
    <t>TXN_9538956</t>
  </si>
  <si>
    <t>2/22/2022</t>
  </si>
  <si>
    <t>TXN_7160998</t>
  </si>
  <si>
    <t>Item_1_CEA</t>
  </si>
  <si>
    <t>TXN_6906173</t>
  </si>
  <si>
    <t>TXN_3317964</t>
  </si>
  <si>
    <t>TXN_4654673</t>
  </si>
  <si>
    <t>9/14/2024</t>
  </si>
  <si>
    <t>TXN_9684703</t>
  </si>
  <si>
    <t>TXN_7571093</t>
  </si>
  <si>
    <t>11/18/2022</t>
  </si>
  <si>
    <t>TXN_1130823</t>
  </si>
  <si>
    <t>TXN_2655759</t>
  </si>
  <si>
    <t>9/18/2024</t>
  </si>
  <si>
    <t>TXN_8878269</t>
  </si>
  <si>
    <t>TXN_5481124</t>
  </si>
  <si>
    <t>Item_15_FUR</t>
  </si>
  <si>
    <t>1/14/2022</t>
  </si>
  <si>
    <t>TXN_3191741</t>
  </si>
  <si>
    <t>Item_15_PAT</t>
  </si>
  <si>
    <t>11/17/2024</t>
  </si>
  <si>
    <t>TXN_3096445</t>
  </si>
  <si>
    <t>TXN_8404227</t>
  </si>
  <si>
    <t>12/29/2023</t>
  </si>
  <si>
    <t>TXN_2374689</t>
  </si>
  <si>
    <t>5/21/2024</t>
  </si>
  <si>
    <t>TXN_9469962</t>
  </si>
  <si>
    <t>2/26/2024</t>
  </si>
  <si>
    <t>TXN_5072173</t>
  </si>
  <si>
    <t>9/21/2024</t>
  </si>
  <si>
    <t>TXN_4944574</t>
  </si>
  <si>
    <t>TXN_5293933</t>
  </si>
  <si>
    <t>TXN_7801513</t>
  </si>
  <si>
    <t>Item_5_EHE</t>
  </si>
  <si>
    <t>9/21/2022</t>
  </si>
  <si>
    <t>TXN_8685820</t>
  </si>
  <si>
    <t>Item_1_BEV</t>
  </si>
  <si>
    <t>3/23/2023</t>
  </si>
  <si>
    <t>TXN_1729525</t>
  </si>
  <si>
    <t>TXN_2593560</t>
  </si>
  <si>
    <t>TXN_6961502</t>
  </si>
  <si>
    <t>Item_17_BUT</t>
  </si>
  <si>
    <t>TXN_8817119</t>
  </si>
  <si>
    <t>TXN_4160315</t>
  </si>
  <si>
    <t>8/20/2022</t>
  </si>
  <si>
    <t>TXN_5438923</t>
  </si>
  <si>
    <t>7/21/2023</t>
  </si>
  <si>
    <t>TXN_8838958</t>
  </si>
  <si>
    <t>TXN_5911306</t>
  </si>
  <si>
    <t>TXN_8714034</t>
  </si>
  <si>
    <t>TXN_5960646</t>
  </si>
  <si>
    <t>Item_3_BEV</t>
  </si>
  <si>
    <t>3/18/2024</t>
  </si>
  <si>
    <t>TXN_1839621</t>
  </si>
  <si>
    <t>TXN_5944361</t>
  </si>
  <si>
    <t>TXN_7159417</t>
  </si>
  <si>
    <t>Item_13_FOOD</t>
  </si>
  <si>
    <t>TXN_3759367</t>
  </si>
  <si>
    <t>TXN_1676564</t>
  </si>
  <si>
    <t>6/18/2024</t>
  </si>
  <si>
    <t>TXN_7493896</t>
  </si>
  <si>
    <t>Item_11_EHE</t>
  </si>
  <si>
    <t>TXN_9279646</t>
  </si>
  <si>
    <t>Item_9_MILK</t>
  </si>
  <si>
    <t>TXN_2080115</t>
  </si>
  <si>
    <t>TXN_2634868</t>
  </si>
  <si>
    <t>6/26/2024</t>
  </si>
  <si>
    <t>TXN_9937190</t>
  </si>
  <si>
    <t>7/14/2023</t>
  </si>
  <si>
    <t>TXN_9222292</t>
  </si>
  <si>
    <t>TXN_3841425</t>
  </si>
  <si>
    <t>TXN_3427896</t>
  </si>
  <si>
    <t>12/26/2024</t>
  </si>
  <si>
    <t>TXN_7315614</t>
  </si>
  <si>
    <t>TXN_5441868</t>
  </si>
  <si>
    <t>TXN_5275517</t>
  </si>
  <si>
    <t>Item_17_FOOD</t>
  </si>
  <si>
    <t>11/29/2024</t>
  </si>
  <si>
    <t>TXN_6260961</t>
  </si>
  <si>
    <t>TXN_2139409</t>
  </si>
  <si>
    <t>5/21/2022</t>
  </si>
  <si>
    <t>TXN_5343433</t>
  </si>
  <si>
    <t>TXN_7425133</t>
  </si>
  <si>
    <t>Item_20_PAT</t>
  </si>
  <si>
    <t>TXN_8793391</t>
  </si>
  <si>
    <t>4/14/2024</t>
  </si>
  <si>
    <t>TXN_5940844</t>
  </si>
  <si>
    <t>TXN_3357122</t>
  </si>
  <si>
    <t>2/19/2024</t>
  </si>
  <si>
    <t>TXN_8846811</t>
  </si>
  <si>
    <t>TXN_6576457</t>
  </si>
  <si>
    <t>Item_9_PAT</t>
  </si>
  <si>
    <t>3/17/2022</t>
  </si>
  <si>
    <t>TXN_4581475</t>
  </si>
  <si>
    <t>6/16/2023</t>
  </si>
  <si>
    <t>TXN_6582130</t>
  </si>
  <si>
    <t>TXN_2910621</t>
  </si>
  <si>
    <t>Item_10_BEV</t>
  </si>
  <si>
    <t>TXN_9627402</t>
  </si>
  <si>
    <t>2/23/2022</t>
  </si>
  <si>
    <t>TXN_6676210</t>
  </si>
  <si>
    <t>Item_17_CEA</t>
  </si>
  <si>
    <t>TXN_5351535</t>
  </si>
  <si>
    <t>10/15/2024</t>
  </si>
  <si>
    <t>TXN_4435938</t>
  </si>
  <si>
    <t>TXN_4181012</t>
  </si>
  <si>
    <t>Item_8_PAT</t>
  </si>
  <si>
    <t>6/24/2024</t>
  </si>
  <si>
    <t>TXN_1475212</t>
  </si>
  <si>
    <t>10/14/2023</t>
  </si>
  <si>
    <t>TXN_9755626</t>
  </si>
  <si>
    <t>1/31/2023</t>
  </si>
  <si>
    <t>TXN_3842430</t>
  </si>
  <si>
    <t>TXN_1102128</t>
  </si>
  <si>
    <t>TXN_4351153</t>
  </si>
  <si>
    <t>TXN_5823559</t>
  </si>
  <si>
    <t>1/17/2024</t>
  </si>
  <si>
    <t>TXN_6830801</t>
  </si>
  <si>
    <t>TXN_7480229</t>
  </si>
  <si>
    <t>1/22/2022</t>
  </si>
  <si>
    <t>TXN_9970141</t>
  </si>
  <si>
    <t>TXN_1841098</t>
  </si>
  <si>
    <t>10/22/2023</t>
  </si>
  <si>
    <t>TXN_4374445</t>
  </si>
  <si>
    <t>TXN_2496138</t>
  </si>
  <si>
    <t>TXN_9041908</t>
  </si>
  <si>
    <t>6/22/2022</t>
  </si>
  <si>
    <t>TXN_6035994</t>
  </si>
  <si>
    <t>10/30/2024</t>
  </si>
  <si>
    <t>TXN_3834320</t>
  </si>
  <si>
    <t>TXN_3456177</t>
  </si>
  <si>
    <t>6/23/2023</t>
  </si>
  <si>
    <t>TXN_6615809</t>
  </si>
  <si>
    <t>6/22/2023</t>
  </si>
  <si>
    <t>TXN_9583800</t>
  </si>
  <si>
    <t>9/18/2023</t>
  </si>
  <si>
    <t>TXN_8870473</t>
  </si>
  <si>
    <t>Item_13_MILK</t>
  </si>
  <si>
    <t>5/29/2023</t>
  </si>
  <si>
    <t>TXN_9933625</t>
  </si>
  <si>
    <t>TXN_3668440</t>
  </si>
  <si>
    <t>1/18/2022</t>
  </si>
  <si>
    <t>TXN_4255841</t>
  </si>
  <si>
    <t>TXN_1795154</t>
  </si>
  <si>
    <t>6/14/2023</t>
  </si>
  <si>
    <t>TXN_3717384</t>
  </si>
  <si>
    <t>TXN_9616213</t>
  </si>
  <si>
    <t>TXN_7043807</t>
  </si>
  <si>
    <t>TXN_6728454</t>
  </si>
  <si>
    <t>TXN_4322217</t>
  </si>
  <si>
    <t>11/23/2024</t>
  </si>
  <si>
    <t>TXN_2151215</t>
  </si>
  <si>
    <t>Item_5_BUT</t>
  </si>
  <si>
    <t>11/24/2023</t>
  </si>
  <si>
    <t>TXN_9987791</t>
  </si>
  <si>
    <t>Item_22_MILK</t>
  </si>
  <si>
    <t>TXN_2540564</t>
  </si>
  <si>
    <t>8/18/2023</t>
  </si>
  <si>
    <t>TXN_9659532</t>
  </si>
  <si>
    <t>Item_4_FUR</t>
  </si>
  <si>
    <t>TXN_1783309</t>
  </si>
  <si>
    <t>1/17/2023</t>
  </si>
  <si>
    <t>TXN_6908704</t>
  </si>
  <si>
    <t>TXN_6596970</t>
  </si>
  <si>
    <t>TXN_1742336</t>
  </si>
  <si>
    <t>TXN_7738273</t>
  </si>
  <si>
    <t>3/23/2024</t>
  </si>
  <si>
    <t>TXN_2232768</t>
  </si>
  <si>
    <t>9/29/2024</t>
  </si>
  <si>
    <t>TXN_4863238</t>
  </si>
  <si>
    <t>11/16/2022</t>
  </si>
  <si>
    <t>TXN_9409545</t>
  </si>
  <si>
    <t>2/24/2022</t>
  </si>
  <si>
    <t>TXN_5426614</t>
  </si>
  <si>
    <t>TXN_1712455</t>
  </si>
  <si>
    <t>TXN_7017598</t>
  </si>
  <si>
    <t>TXN_7222601</t>
  </si>
  <si>
    <t>TXN_7864933</t>
  </si>
  <si>
    <t>Item_17_BEV</t>
  </si>
  <si>
    <t>11/29/2022</t>
  </si>
  <si>
    <t>TXN_7383288</t>
  </si>
  <si>
    <t>TXN_8228155</t>
  </si>
  <si>
    <t>8/19/2022</t>
  </si>
  <si>
    <t>TXN_9564689</t>
  </si>
  <si>
    <t>TXN_8504691</t>
  </si>
  <si>
    <t>12/21/2023</t>
  </si>
  <si>
    <t>TXN_7177109</t>
  </si>
  <si>
    <t>TXN_9440172</t>
  </si>
  <si>
    <t>10/25/2023</t>
  </si>
  <si>
    <t>TXN_7436006</t>
  </si>
  <si>
    <t>7/25/2023</t>
  </si>
  <si>
    <t>TXN_3673808</t>
  </si>
  <si>
    <t>Item_19_PAT</t>
  </si>
  <si>
    <t>11/18/2023</t>
  </si>
  <si>
    <t>TXN_1386646</t>
  </si>
  <si>
    <t>TXN_3840387</t>
  </si>
  <si>
    <t>12/29/2024</t>
  </si>
  <si>
    <t>TXN_5434897</t>
  </si>
  <si>
    <t>3/21/2023</t>
  </si>
  <si>
    <t>TXN_2218629</t>
  </si>
  <si>
    <t>TXN_9352178</t>
  </si>
  <si>
    <t>Item_2_PAT</t>
  </si>
  <si>
    <t>3/24/2023</t>
  </si>
  <si>
    <t>TXN_9978418</t>
  </si>
  <si>
    <t>Item_14_BUT</t>
  </si>
  <si>
    <t>TXN_6660687</t>
  </si>
  <si>
    <t>12/27/2024</t>
  </si>
  <si>
    <t>TXN_8348586</t>
  </si>
  <si>
    <t>TXN_7647224</t>
  </si>
  <si>
    <t>3/19/2022</t>
  </si>
  <si>
    <t>TXN_2676761</t>
  </si>
  <si>
    <t>TXN_1409260</t>
  </si>
  <si>
    <t>TXN_9671345</t>
  </si>
  <si>
    <t>Item_20_FUR</t>
  </si>
  <si>
    <t>9/13/2022</t>
  </si>
  <si>
    <t>TXN_6893703</t>
  </si>
  <si>
    <t>TXN_5744111</t>
  </si>
  <si>
    <t>8/21/2024</t>
  </si>
  <si>
    <t>TXN_5224257</t>
  </si>
  <si>
    <t>Item_6_BUT</t>
  </si>
  <si>
    <t>8/13/2022</t>
  </si>
  <si>
    <t>TXN_5319794</t>
  </si>
  <si>
    <t>TXN_7326092</t>
  </si>
  <si>
    <t>9/19/2023</t>
  </si>
  <si>
    <t>TXN_3342497</t>
  </si>
  <si>
    <t>TXN_7235181</t>
  </si>
  <si>
    <t>12/13/2023</t>
  </si>
  <si>
    <t>TXN_4657560</t>
  </si>
  <si>
    <t>10/18/2022</t>
  </si>
  <si>
    <t>TXN_4570770</t>
  </si>
  <si>
    <t>TXN_6810161</t>
  </si>
  <si>
    <t>TXN_1544024</t>
  </si>
  <si>
    <t>TXN_3107156</t>
  </si>
  <si>
    <t>12/23/2024</t>
  </si>
  <si>
    <t>TXN_2540525</t>
  </si>
  <si>
    <t>TXN_7595380</t>
  </si>
  <si>
    <t>Item_9_FUR</t>
  </si>
  <si>
    <t>11/13/2022</t>
  </si>
  <si>
    <t>TXN_9778912</t>
  </si>
  <si>
    <t>8/27/2024</t>
  </si>
  <si>
    <t>TXN_2771813</t>
  </si>
  <si>
    <t>TXN_2461753</t>
  </si>
  <si>
    <t>TXN_9228328</t>
  </si>
  <si>
    <t>TXN_8148435</t>
  </si>
  <si>
    <t>1/20/2024</t>
  </si>
  <si>
    <t>TXN_9014066</t>
  </si>
  <si>
    <t>11/20/2022</t>
  </si>
  <si>
    <t>TXN_3864156</t>
  </si>
  <si>
    <t>5/25/2023</t>
  </si>
  <si>
    <t>TXN_1325795</t>
  </si>
  <si>
    <t>4/29/2022</t>
  </si>
  <si>
    <t>TXN_9131959</t>
  </si>
  <si>
    <t>TXN_2755690</t>
  </si>
  <si>
    <t>Item_12_CEA</t>
  </si>
  <si>
    <t>TXN_5675339</t>
  </si>
  <si>
    <t>TXN_2687566</t>
  </si>
  <si>
    <t>TXN_6070296</t>
  </si>
  <si>
    <t>1/31/2024</t>
  </si>
  <si>
    <t>TXN_7927802</t>
  </si>
  <si>
    <t>6/30/2023</t>
  </si>
  <si>
    <t>TXN_1607995</t>
  </si>
  <si>
    <t>TXN_1694461</t>
  </si>
  <si>
    <t>7/13/2022</t>
  </si>
  <si>
    <t>TXN_4728272</t>
  </si>
  <si>
    <t>2/27/2023</t>
  </si>
  <si>
    <t>TXN_1213835</t>
  </si>
  <si>
    <t>TXN_7377480</t>
  </si>
  <si>
    <t>3/13/2024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</si>
  <si>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</si>
  <si>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</si>
  <si>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</si>
  <si>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</si>
  <si>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</si>
  <si>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</si>
  <si>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</si>
  <si>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</si>
  <si>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12/14/2023</t>
  </si>
  <si>
    <t>TXN_2346263</t>
  </si>
  <si>
    <t>TXN_2610751</t>
  </si>
  <si>
    <t>TXN_2712285</t>
  </si>
  <si>
    <t>6/25/2022</t>
  </si>
  <si>
    <t>TXN_5372618</t>
  </si>
  <si>
    <t>Item_15_EHE</t>
  </si>
  <si>
    <t>5/18/2022</t>
  </si>
  <si>
    <t>TXN_9725690</t>
  </si>
  <si>
    <t>8/30/2022</t>
  </si>
  <si>
    <t>TXN_1619388</t>
  </si>
  <si>
    <t>TXN_8846502</t>
  </si>
  <si>
    <t>TXN_2079721</t>
  </si>
  <si>
    <t>TXN_5361643</t>
  </si>
  <si>
    <t>TXN_5809744</t>
  </si>
  <si>
    <t>1/29/2023</t>
  </si>
  <si>
    <t>TXN_6567750</t>
  </si>
  <si>
    <t>10/26/2022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</si>
  <si>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</si>
  <si>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</si>
  <si>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</si>
  <si>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</si>
  <si>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</si>
  <si>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</si>
  <si>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</si>
  <si>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1/22/2024</t>
  </si>
  <si>
    <t>TXN_5547887</t>
  </si>
  <si>
    <t>TXN_2009395</t>
  </si>
  <si>
    <t>TXN_1354667</t>
  </si>
  <si>
    <t>TXN_1597974</t>
  </si>
  <si>
    <t>Item_18_MILK</t>
  </si>
  <si>
    <t>10/20/2023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</si>
  <si>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</si>
  <si>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</si>
  <si>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</si>
  <si>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</si>
  <si>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</si>
  <si>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</si>
  <si>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</si>
  <si>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</si>
  <si>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8/16/2024</t>
  </si>
  <si>
    <t>TXN_9837294</t>
  </si>
  <si>
    <t>6/15/2024</t>
  </si>
  <si>
    <t>TXN_8172094</t>
  </si>
  <si>
    <t>TXN_4882798</t>
  </si>
  <si>
    <t>Item_6_FUR</t>
  </si>
  <si>
    <t>4/22/2022</t>
  </si>
  <si>
    <t>TXN_4283900</t>
  </si>
  <si>
    <t>Item_24_BEV</t>
  </si>
  <si>
    <t>6/23/2022</t>
  </si>
  <si>
    <t>TXN_1224321</t>
  </si>
  <si>
    <t>8/22/2022</t>
  </si>
  <si>
    <t>TXN_5240854</t>
  </si>
  <si>
    <t>TXN_4879732</t>
  </si>
  <si>
    <t>2/27/2022</t>
  </si>
  <si>
    <t>TXN_1642953</t>
  </si>
  <si>
    <t>10/30/2022</t>
  </si>
  <si>
    <t>TXN_9917843</t>
  </si>
  <si>
    <t>TXN_4602333</t>
  </si>
  <si>
    <t>Item_14_MILK</t>
  </si>
  <si>
    <t>12/30/2024</t>
  </si>
  <si>
    <t>TXN_8101203</t>
  </si>
  <si>
    <t>TXN_4766175</t>
  </si>
  <si>
    <t>TXN_2331955</t>
  </si>
  <si>
    <t>TXN_1373649</t>
  </si>
  <si>
    <t>TXN_8660082</t>
  </si>
  <si>
    <t>5/18/2024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</si>
  <si>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</si>
  <si>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</si>
  <si>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</si>
  <si>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</si>
  <si>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</si>
  <si>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</si>
  <si>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</si>
  <si>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</si>
  <si>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</si>
  <si>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</si>
  <si>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1/24/2022</t>
  </si>
  <si>
    <t>TXN_5759876</t>
  </si>
  <si>
    <t>12/27/2023</t>
  </si>
  <si>
    <t>TXN_5786761</t>
  </si>
  <si>
    <t>TXN_4126221</t>
  </si>
  <si>
    <t>TXN_3055303</t>
  </si>
  <si>
    <t>6/30/2022</t>
  </si>
  <si>
    <t>TXN_3948610</t>
  </si>
  <si>
    <t>2/24/2023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</si>
  <si>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</si>
  <si>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</si>
  <si>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</si>
  <si>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</si>
  <si>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</si>
  <si>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</si>
  <si>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</si>
  <si>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10/14/2022</t>
  </si>
  <si>
    <t>TXN_2118429</t>
  </si>
  <si>
    <t>10/17/2022</t>
  </si>
  <si>
    <t>TXN_4298975</t>
  </si>
  <si>
    <t>12/18/2023</t>
  </si>
  <si>
    <t>TXN_4597218</t>
  </si>
  <si>
    <t>6/19/2024</t>
  </si>
  <si>
    <t>TXN_4793201</t>
  </si>
  <si>
    <t>TXN_1910565</t>
  </si>
  <si>
    <t>3/26/2024</t>
  </si>
  <si>
    <t>TXN_5645530</t>
  </si>
  <si>
    <t>TXN_7221565</t>
  </si>
  <si>
    <t>2/13/2022</t>
  </si>
  <si>
    <t>TXN_2175503</t>
  </si>
  <si>
    <t>TXN_3919101</t>
  </si>
  <si>
    <t>TXN_7993933</t>
  </si>
  <si>
    <t>TXN_1987133</t>
  </si>
  <si>
    <t>TXN_9150129</t>
  </si>
  <si>
    <t>6/27/2024</t>
  </si>
  <si>
    <t>TXN_1011892</t>
  </si>
  <si>
    <t>8/27/2023</t>
  </si>
  <si>
    <t>TXN_5476321</t>
  </si>
  <si>
    <t>TXN_3525189</t>
  </si>
  <si>
    <t>1/25/2024</t>
  </si>
  <si>
    <t>TXN_5861199</t>
  </si>
  <si>
    <t>Item_18_BEV</t>
  </si>
  <si>
    <t>12/30/2022</t>
  </si>
  <si>
    <t>TXN_6454565</t>
  </si>
  <si>
    <t>TXN_4827758</t>
  </si>
  <si>
    <t>11/16/2023</t>
  </si>
  <si>
    <t>TXN_6215665</t>
  </si>
  <si>
    <t>6/13/2023</t>
  </si>
  <si>
    <t>TXN_7710775</t>
  </si>
  <si>
    <t>2/22/2023</t>
  </si>
  <si>
    <t>TXN_4701071</t>
  </si>
  <si>
    <t>TXN_1593038</t>
  </si>
  <si>
    <t>TXN_7002371</t>
  </si>
  <si>
    <t>1/15/2022</t>
  </si>
  <si>
    <t>TXN_5423342</t>
  </si>
  <si>
    <t>10/21/2023</t>
  </si>
  <si>
    <t>TXN_2010040</t>
  </si>
  <si>
    <t>TXN_3087080</t>
  </si>
  <si>
    <t>4/23/2022</t>
  </si>
  <si>
    <t>TXN_1285469</t>
  </si>
  <si>
    <t>6/17/2022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</si>
  <si>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</si>
  <si>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</si>
  <si>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</si>
  <si>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</si>
  <si>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</si>
  <si>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</si>
  <si>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</si>
  <si>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</si>
  <si>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</si>
  <si>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</si>
  <si>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</si>
  <si>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</si>
  <si>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</si>
  <si>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</si>
  <si>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</si>
  <si>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</si>
  <si>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</si>
  <si>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</si>
  <si>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</si>
  <si>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</si>
  <si>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6/13/2022</t>
  </si>
  <si>
    <t>TXN_5430099</t>
  </si>
  <si>
    <t>TXN_6053212</t>
  </si>
  <si>
    <t>Item_2_EHE</t>
  </si>
  <si>
    <t>TXN_2275327</t>
  </si>
  <si>
    <t>TXN_3543865</t>
  </si>
  <si>
    <t>11/20/2023</t>
  </si>
  <si>
    <t>TXN_3876653</t>
  </si>
  <si>
    <t>TXN_8090678</t>
  </si>
  <si>
    <t>TXN_1865764</t>
  </si>
  <si>
    <t>TXN_7555309</t>
  </si>
  <si>
    <t>7/15/2022</t>
  </si>
  <si>
    <t>TXN_7232230</t>
  </si>
  <si>
    <t>TXN_4354993</t>
  </si>
  <si>
    <t>TXN_1099045</t>
  </si>
  <si>
    <t>TXN_4797019</t>
  </si>
  <si>
    <t>TXN_6375385</t>
  </si>
  <si>
    <t>TXN_1243810</t>
  </si>
  <si>
    <t>12/28/2023</t>
  </si>
  <si>
    <t>TXN_9398224</t>
  </si>
  <si>
    <t>2/16/2024</t>
  </si>
  <si>
    <t>TXN_9044784</t>
  </si>
  <si>
    <t>3/22/2024</t>
  </si>
  <si>
    <t>TXN_5720404</t>
  </si>
  <si>
    <t>3/22/2022</t>
  </si>
  <si>
    <t>TXN_2533200</t>
  </si>
  <si>
    <t>10/28/2022</t>
  </si>
  <si>
    <t>TXN_4464985</t>
  </si>
  <si>
    <t>TXN_6117973</t>
  </si>
  <si>
    <t>5/15/2022</t>
  </si>
  <si>
    <t>TXN_9340286</t>
  </si>
  <si>
    <t>8/13/2024</t>
  </si>
  <si>
    <t>TXN_3242349</t>
  </si>
  <si>
    <t>12/26/2022</t>
  </si>
  <si>
    <t>TXN_9299802</t>
  </si>
  <si>
    <t>TXN_5371741</t>
  </si>
  <si>
    <t>8/21/2022</t>
  </si>
  <si>
    <t>TXN_7101302</t>
  </si>
  <si>
    <t>10/24/2024</t>
  </si>
  <si>
    <t>TXN_7903686</t>
  </si>
  <si>
    <t>3/13/2022</t>
  </si>
  <si>
    <t>TXN_3761426</t>
  </si>
  <si>
    <t>12/16/2024</t>
  </si>
  <si>
    <t>TXN_5381188</t>
  </si>
  <si>
    <t>TXN_9844205</t>
  </si>
  <si>
    <t>TXN_9443022</t>
  </si>
  <si>
    <t>TXN_2545845</t>
  </si>
  <si>
    <t>8/28/2024</t>
  </si>
  <si>
    <t>TXN_9793935</t>
  </si>
  <si>
    <t>TXN_1919020</t>
  </si>
  <si>
    <t>3/18/2022</t>
  </si>
  <si>
    <t>TXN_9972181</t>
  </si>
  <si>
    <t>12/28/2024</t>
  </si>
  <si>
    <t>TXN_4432365</t>
  </si>
  <si>
    <t>TXN_7305258</t>
  </si>
  <si>
    <t>Item_23_PAT</t>
  </si>
  <si>
    <t>4/25/2022</t>
  </si>
  <si>
    <t>TXN_8802743</t>
  </si>
  <si>
    <t>9/17/2023</t>
  </si>
  <si>
    <t>TXN_5930319</t>
  </si>
  <si>
    <t>8/29/2022</t>
  </si>
  <si>
    <t>TXN_3141947</t>
  </si>
  <si>
    <t>TXN_6126899</t>
  </si>
  <si>
    <t>TXN_4759687</t>
  </si>
  <si>
    <t>6/20/2023</t>
  </si>
  <si>
    <t>TXN_7157580</t>
  </si>
  <si>
    <t>TXN_4249343</t>
  </si>
  <si>
    <t>TXN_6137503</t>
  </si>
  <si>
    <t>TXN_5300736</t>
  </si>
  <si>
    <t>7/17/2022</t>
  </si>
  <si>
    <t>TXN_1370562</t>
  </si>
  <si>
    <t>TXN_7327686</t>
  </si>
  <si>
    <t>5/17/2024</t>
  </si>
  <si>
    <t>TXN_6017693</t>
  </si>
  <si>
    <t>TXN_7165120</t>
  </si>
  <si>
    <t>10/23/2023</t>
  </si>
  <si>
    <t>TXN_5034035</t>
  </si>
  <si>
    <t>8/25/2024</t>
  </si>
  <si>
    <t>TXN_9703848</t>
  </si>
  <si>
    <t>Item_15_FOOD</t>
  </si>
  <si>
    <t>6/16/2022</t>
  </si>
  <si>
    <t>TXN_2702011</t>
  </si>
  <si>
    <t>TXN_6364377</t>
  </si>
  <si>
    <t>TXN_8231762</t>
  </si>
  <si>
    <t>TXN_7101979</t>
  </si>
  <si>
    <t>4/14/2023</t>
  </si>
  <si>
    <t>TXN_8788021</t>
  </si>
  <si>
    <t>11/26/2024</t>
  </si>
  <si>
    <t>TXN_6917255</t>
  </si>
  <si>
    <t>Item_8_FOOD</t>
  </si>
  <si>
    <t>7/31/2024</t>
  </si>
  <si>
    <t>TXN_3821185</t>
  </si>
  <si>
    <t>TXN_5773991</t>
  </si>
  <si>
    <t>9/30/2022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</si>
  <si>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</si>
  <si>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</si>
  <si>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</si>
  <si>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</si>
  <si>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</si>
  <si>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</si>
  <si>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</si>
  <si>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</si>
  <si>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</si>
  <si>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</si>
  <si>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</si>
  <si>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</si>
  <si>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</si>
  <si>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</si>
  <si>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</si>
  <si>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</si>
  <si>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</si>
  <si>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</si>
  <si>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</si>
  <si>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2/23/2024</t>
  </si>
  <si>
    <t>TXN_1534987</t>
  </si>
  <si>
    <t>TXN_3302248</t>
  </si>
  <si>
    <t>TXN_7830284</t>
  </si>
  <si>
    <t>TXN_8466219</t>
  </si>
  <si>
    <t>TXN_9923470</t>
  </si>
  <si>
    <t>TXN_6321123</t>
  </si>
  <si>
    <t>5/25/2024</t>
  </si>
  <si>
    <t>TXN_4825724</t>
  </si>
  <si>
    <t>12/22/2024</t>
  </si>
  <si>
    <t>TXN_9634891</t>
  </si>
  <si>
    <t>TXN_8935391</t>
  </si>
  <si>
    <t>TXN_5910508</t>
  </si>
  <si>
    <t>TXN_6889696</t>
  </si>
  <si>
    <t>TXN_7543333</t>
  </si>
  <si>
    <t>3/28/2022</t>
  </si>
  <si>
    <t>TXN_4396240</t>
  </si>
  <si>
    <t>4/28/2024</t>
  </si>
  <si>
    <t>TXN_3375368</t>
  </si>
  <si>
    <t>TXN_8827064</t>
  </si>
  <si>
    <t>TXN_2975097</t>
  </si>
  <si>
    <t>TXN_9586952</t>
  </si>
  <si>
    <t>6/19/2023</t>
  </si>
  <si>
    <t>TXN_3575121</t>
  </si>
  <si>
    <t>TXN_3686072</t>
  </si>
  <si>
    <t>2/23/2023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</si>
  <si>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</si>
  <si>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</si>
  <si>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</si>
  <si>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</si>
  <si>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</si>
  <si>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</si>
  <si>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</si>
  <si>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10/22/2024</t>
  </si>
  <si>
    <t>TXN_5750056</t>
  </si>
  <si>
    <t>9/20/2023</t>
  </si>
  <si>
    <t>TXN_7435444</t>
  </si>
  <si>
    <t>7/27/2022</t>
  </si>
  <si>
    <t>Check Discount Clean</t>
  </si>
  <si>
    <t>No Of  High Profit Orders</t>
  </si>
  <si>
    <t>No Of Loss Orders</t>
  </si>
  <si>
    <t>Transaction date</t>
  </si>
  <si>
    <t>Total Orders</t>
  </si>
  <si>
    <t>Total Revenue</t>
  </si>
  <si>
    <t>Revenue High Profit</t>
  </si>
  <si>
    <t>Revenue Loss</t>
  </si>
  <si>
    <t>Revenue At Risk</t>
  </si>
  <si>
    <t>Row Labels</t>
  </si>
  <si>
    <t>Grand Total</t>
  </si>
  <si>
    <t>Medium</t>
  </si>
  <si>
    <t>High Profit</t>
  </si>
  <si>
    <t>Loss</t>
  </si>
  <si>
    <t>Sum of Total Spent</t>
  </si>
  <si>
    <t>Column Labels</t>
  </si>
  <si>
    <t>Item _Unknown_ BUT</t>
  </si>
  <si>
    <t>Item _Unknown_ COM</t>
  </si>
  <si>
    <t>Item _Unknown_ FOO</t>
  </si>
  <si>
    <t>Item _Unknown_ FUR</t>
  </si>
  <si>
    <t>Item _Unknown_ PAT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</si>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</sst>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rgb="FF8EAADB"/>
      </left>
      <right style="medium">
        <color rgb="FFCCCCCC"/>
      </right>
      <top style="medium">
        <color rgb="FF8EAADB"/>
      </top>
      <bottom style="medium">
        <color rgb="FF8EAADB"/>
      </bottom>
      <diagonal/>
    </border>
    <border>
      <left style="medium">
        <color rgb="FFCCCCCC"/>
      </left>
      <right style="medium">
        <color rgb="FFCCCCCC"/>
      </right>
      <top style="medium">
        <color rgb="FF8EAADB"/>
      </top>
      <bottom style="medium">
        <color rgb="FF8EAADB"/>
      </bottom>
      <diagonal/>
    </border>
    <border>
      <left style="medium">
        <color rgb="FFCCCCCC"/>
      </left>
      <right style="medium">
        <color rgb="FF8EAADB"/>
      </right>
      <top style="medium">
        <color rgb="FF8EAADB"/>
      </top>
      <bottom style="medium">
        <color rgb="FF8EAADB"/>
      </bottom>
      <diagonal/>
    </border>
    <border>
      <left style="medium">
        <color rgb="FF8EAADB"/>
      </left>
      <right style="medium">
        <color rgb="FFCCCCCC"/>
      </right>
      <top style="medium">
        <color rgb="FFCCCCCC"/>
      </top>
      <bottom style="medium">
        <color rgb="FF8EAAD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EAADB"/>
      </bottom>
      <diagonal/>
    </border>
    <border>
      <left style="medium">
        <color rgb="FFCCCCCC"/>
      </left>
      <right style="medium">
        <color rgb="FF8EAADB"/>
      </right>
      <top style="medium">
        <color rgb="FFCCCCCC"/>
      </top>
      <bottom style="medium">
        <color rgb="FF8EAADB"/>
      </bottom>
      <diagonal/>
    </border>
    <border>
      <left/>
      <right style="medium">
        <color rgb="FFCCCCCC"/>
      </right>
      <top style="medium">
        <color rgb="FFCCCCCC"/>
      </top>
      <bottom style="medium">
        <color rgb="FF8EAADB"/>
      </bottom>
      <diagonal/>
    </border>
    <border>
      <left style="medium">
        <color rgb="FFCCCCCC"/>
      </left>
      <right/>
      <top style="medium">
        <color rgb="FFCCCCCC"/>
      </top>
      <bottom style="medium">
        <color rgb="FF8EAADB"/>
      </bottom>
      <diagonal/>
    </border>
    <border>
      <left/>
      <right style="medium">
        <color rgb="FFCCCCCC"/>
      </right>
      <top/>
      <bottom style="medium">
        <color rgb="FF8EAADB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8EAADB"/>
      </bottom>
      <diagonal/>
    </border>
    <border>
      <left style="medium">
        <color rgb="FFCCCCCC"/>
      </left>
      <right/>
      <top/>
      <bottom style="medium">
        <color rgb="FF8EAADB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0" fillId="3" borderId="5" xfId="0" applyFill="1" applyBorder="1" applyAlignment="1">
      <alignment horizontal="right" wrapText="1"/>
    </xf>
    <xf numFmtId="14" fontId="0" fillId="3" borderId="5" xfId="0" applyNumberFormat="1" applyFill="1" applyBorder="1" applyAlignment="1">
      <alignment horizontal="right" wrapText="1"/>
    </xf>
    <xf numFmtId="0" fontId="0" fillId="3" borderId="5" xfId="0" applyFill="1" applyBorder="1" applyAlignment="1">
      <alignment horizontal="center" wrapText="1"/>
    </xf>
    <xf numFmtId="0" fontId="0" fillId="3" borderId="6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right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wrapText="1"/>
    </xf>
    <xf numFmtId="14" fontId="0" fillId="0" borderId="5" xfId="0" applyNumberFormat="1" applyBorder="1" applyAlignment="1">
      <alignment horizontal="right" wrapText="1"/>
    </xf>
    <xf numFmtId="0" fontId="0" fillId="3" borderId="7" xfId="0" applyFill="1" applyBorder="1" applyAlignment="1">
      <alignment wrapText="1"/>
    </xf>
    <xf numFmtId="0" fontId="0" fillId="0" borderId="7" xfId="0" applyBorder="1" applyAlignment="1">
      <alignment wrapText="1"/>
    </xf>
    <xf numFmtId="0" fontId="0" fillId="3" borderId="8" xfId="0" applyFill="1" applyBorder="1" applyAlignment="1">
      <alignment wrapText="1"/>
    </xf>
    <xf numFmtId="0" fontId="2" fillId="2" borderId="9" xfId="0" applyFont="1" applyFill="1" applyBorder="1" applyAlignment="1">
      <alignment wrapText="1"/>
    </xf>
    <xf numFmtId="0" fontId="2" fillId="2" borderId="10" xfId="0" applyFont="1" applyFill="1" applyBorder="1" applyAlignment="1">
      <alignment wrapText="1"/>
    </xf>
    <xf numFmtId="0" fontId="2" fillId="2" borderId="11" xfId="0" applyFont="1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13" xfId="0" applyFill="1" applyBorder="1" applyAlignment="1">
      <alignment horizontal="right" wrapText="1"/>
    </xf>
    <xf numFmtId="0" fontId="0" fillId="4" borderId="14" xfId="0" applyFill="1" applyBorder="1" applyAlignment="1">
      <alignment horizontal="left"/>
    </xf>
    <xf numFmtId="0" fontId="2" fillId="2" borderId="10" xfId="0" applyFont="1" applyFill="1" applyBorder="1" applyAlignment="1">
      <alignment horizontal="right" wrapText="1"/>
    </xf>
    <xf numFmtId="0" fontId="0" fillId="4" borderId="14" xfId="0" applyFill="1" applyBorder="1" applyAlignment="1">
      <alignment horizontal="right"/>
    </xf>
    <xf numFmtId="0" fontId="0" fillId="0" borderId="0" xfId="0" applyAlignment="1">
      <alignment horizontal="right"/>
    </xf>
    <xf numFmtId="0" fontId="0" fillId="3" borderId="8" xfId="0" applyFill="1" applyBorder="1" applyAlignment="1">
      <alignment horizontal="center" wrapText="1"/>
    </xf>
    <xf numFmtId="14" fontId="2" fillId="2" borderId="10" xfId="0" applyNumberFormat="1" applyFont="1" applyFill="1" applyBorder="1" applyAlignment="1">
      <alignment wrapText="1"/>
    </xf>
    <xf numFmtId="14" fontId="0" fillId="0" borderId="0" xfId="0" applyNumberFormat="1"/>
    <xf numFmtId="0" fontId="0" fillId="5" borderId="0" xfId="0" applyFill="1"/>
    <xf numFmtId="0" fontId="0" fillId="6" borderId="0" xfId="0" applyFill="1"/>
    <xf numFmtId="14" fontId="0" fillId="5" borderId="0" xfId="0" applyNumberFormat="1" applyFill="1"/>
    <xf numFmtId="9" fontId="0" fillId="7" borderId="0" xfId="1" applyFont="1" applyFill="1"/>
    <xf numFmtId="9" fontId="0" fillId="6" borderId="0" xfId="1" applyFont="1" applyFill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4" fontId="0" fillId="3" borderId="5" xfId="0" applyNumberFormat="1" applyFill="1" applyBorder="1" applyAlignment="1">
      <alignment horizontal="center" wrapText="1"/>
    </xf>
    <xf numFmtId="14" fontId="0" fillId="0" borderId="5" xfId="0" applyNumberFormat="1" applyBorder="1" applyAlignment="1">
      <alignment horizontal="center" wrapText="1"/>
    </xf>
    <xf numFmtId="14" fontId="0" fillId="3" borderId="13" xfId="0" applyNumberForma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17">
    <dxf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8EAADB"/>
        </bottom>
        <vertical/>
        <horizontal/>
      </border>
    </dxf>
    <dxf>
      <fill>
        <patternFill patternType="solid">
          <fgColor indexed="64"/>
          <bgColor rgb="FFD9E2F3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8EAADB"/>
        </bottom>
        <vertical/>
        <horizontal/>
      </border>
    </dxf>
    <dxf>
      <fill>
        <patternFill patternType="solid">
          <fgColor indexed="64"/>
          <bgColor rgb="FFD9E2F3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8EAADB"/>
        </bottom>
        <vertical/>
        <horizontal/>
      </border>
    </dxf>
    <dxf>
      <alignment horizontal="center" vertical="bottom" textRotation="0" wrapText="1" indent="0" justifyLastLine="0" shrinkToFit="0" readingOrder="0"/>
    </dxf>
    <dxf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</border>
    </dxf>
    <dxf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</border>
    </dxf>
    <dxf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8EAADB"/>
        </left>
        <right style="medium">
          <color rgb="FF8EAADB"/>
        </right>
        <top style="medium">
          <color rgb="FF8EAADB"/>
        </top>
        <bottom style="medium">
          <color rgb="FF8EAADB"/>
        </bottom>
      </border>
    </dxf>
    <dxf>
      <border outline="0">
        <bottom style="medium">
          <color rgb="FF8EAA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Cleaning ^.^.XLX.xlsx]Top 5 Loss!PivotTable1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Loss'!$B$3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Loss'!$A$4:$A$9</c:f>
              <c:strCache>
                <c:ptCount val="5"/>
                <c:pt idx="0">
                  <c:v>Item _Unknown_ BUT</c:v>
                </c:pt>
                <c:pt idx="1">
                  <c:v>Item _Unknown_ COM</c:v>
                </c:pt>
                <c:pt idx="2">
                  <c:v>Item _Unknown_ FOO</c:v>
                </c:pt>
                <c:pt idx="3">
                  <c:v>Item _Unknown_ FUR</c:v>
                </c:pt>
                <c:pt idx="4">
                  <c:v>Item _Unknown_ PAT</c:v>
                </c:pt>
              </c:strCache>
            </c:strRef>
          </c:cat>
          <c:val>
            <c:numRef>
              <c:f>'Top 5 Loss'!$B$4:$B$9</c:f>
              <c:numCache>
                <c:formatCode>General</c:formatCode>
                <c:ptCount val="5"/>
                <c:pt idx="0">
                  <c:v>3097.5</c:v>
                </c:pt>
                <c:pt idx="1">
                  <c:v>3606</c:v>
                </c:pt>
                <c:pt idx="2">
                  <c:v>3619.5</c:v>
                </c:pt>
                <c:pt idx="3">
                  <c:v>4103</c:v>
                </c:pt>
                <c:pt idx="4">
                  <c:v>3972.5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5-470E-A761-3280773CAC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0032784"/>
        <c:axId val="1125165248"/>
      </c:barChart>
      <c:catAx>
        <c:axId val="85003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65248"/>
        <c:crosses val="autoZero"/>
        <c:auto val="1"/>
        <c:lblAlgn val="ctr"/>
        <c:lblOffset val="100"/>
        <c:noMultiLvlLbl val="0"/>
      </c:catAx>
      <c:valAx>
        <c:axId val="112516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03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Cleaning ^.^.XLX.xlsx]Payment Method!PivotTable3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Method'!$B$3:$B$4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'Payment Method'!$A$5:$A$7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'Payment Method'!$B$5:$B$7</c:f>
              <c:numCache>
                <c:formatCode>General</c:formatCode>
                <c:ptCount val="2"/>
                <c:pt idx="0">
                  <c:v>11208.5</c:v>
                </c:pt>
                <c:pt idx="1">
                  <c:v>14976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D-44F2-9C69-F141333A49BC}"/>
            </c:ext>
          </c:extLst>
        </c:ser>
        <c:ser>
          <c:idx val="1"/>
          <c:order val="1"/>
          <c:tx>
            <c:strRef>
              <c:f>'Payment Method'!$C$3:$C$4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'Payment Method'!$A$5:$A$7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'Payment Method'!$C$5:$C$7</c:f>
              <c:numCache>
                <c:formatCode>General</c:formatCode>
                <c:ptCount val="2"/>
                <c:pt idx="0">
                  <c:v>12610.5</c:v>
                </c:pt>
                <c:pt idx="1">
                  <c:v>12704.5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2D-44F2-9C69-F141333A49BC}"/>
            </c:ext>
          </c:extLst>
        </c:ser>
        <c:ser>
          <c:idx val="2"/>
          <c:order val="2"/>
          <c:tx>
            <c:strRef>
              <c:f>'Payment Method'!$D$3:$D$4</c:f>
              <c:strCache>
                <c:ptCount val="1"/>
                <c:pt idx="0">
                  <c:v>Digital Wallet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'Payment Method'!$A$5:$A$7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'Payment Method'!$D$5:$D$7</c:f>
              <c:numCache>
                <c:formatCode>General</c:formatCode>
                <c:ptCount val="2"/>
                <c:pt idx="0">
                  <c:v>14160.5</c:v>
                </c:pt>
                <c:pt idx="1">
                  <c:v>13027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2D-44F2-9C69-F141333A49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2321792"/>
        <c:axId val="842324192"/>
      </c:barChart>
      <c:catAx>
        <c:axId val="84232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324192"/>
        <c:crosses val="autoZero"/>
        <c:auto val="1"/>
        <c:lblAlgn val="ctr"/>
        <c:lblOffset val="100"/>
        <c:noMultiLvlLbl val="0"/>
      </c:catAx>
      <c:valAx>
        <c:axId val="8423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32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Cleaning ^.^.XLX.xlsx]Total Spent!PivotTable2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'Total Spent'!$B$3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DD4-411C-9816-1435C4BA86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DD4-411C-9816-1435C4BA86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DD4-411C-9816-1435C4BA86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Spent'!$A$4:$A$7</c:f>
              <c:strCache>
                <c:ptCount val="3"/>
                <c:pt idx="0">
                  <c:v>Medium</c:v>
                </c:pt>
                <c:pt idx="1">
                  <c:v>High Profit</c:v>
                </c:pt>
                <c:pt idx="2">
                  <c:v>Loss</c:v>
                </c:pt>
              </c:strCache>
            </c:strRef>
          </c:cat>
          <c:val>
            <c:numRef>
              <c:f>'Total Spent'!$B$4:$B$7</c:f>
              <c:numCache>
                <c:formatCode>General</c:formatCode>
                <c:ptCount val="3"/>
                <c:pt idx="0">
                  <c:v>23547</c:v>
                </c:pt>
                <c:pt idx="1">
                  <c:v>26748</c:v>
                </c:pt>
                <c:pt idx="2">
                  <c:v>28392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9-427B-9E62-63A7A10A633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0</xdr:row>
      <xdr:rowOff>0</xdr:rowOff>
    </xdr:from>
    <xdr:to>
      <xdr:col>5</xdr:col>
      <xdr:colOff>438150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B78811-41DC-D4E0-BCCD-155DF8D86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733425</xdr:colOff>
      <xdr:row>0</xdr:row>
      <xdr:rowOff>52387</xdr:rowOff>
    </xdr:from>
    <xdr:to>
      <xdr:col>12</xdr:col>
      <xdr:colOff>285750</xdr:colOff>
      <xdr:row>14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21D225-B639-BFE7-AE5E-6430F0A12D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1</xdr:row>
      <xdr:rowOff>90487</xdr:rowOff>
    </xdr:from>
    <xdr:to>
      <xdr:col>9</xdr:col>
      <xdr:colOff>561975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0A51A5-D977-2DB4-CABD-AEA76976F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thimanikarthik" refreshedDate="46192.179645833334" createdVersion="8" refreshedVersion="8" minRefreshableVersion="3" recordCount="617" xr:uid="{063C10CA-1826-481A-8A01-6F1F43A9A58A}">
  <cacheSource type="worksheet">
    <worksheetSource name="Table1"/>
  </cacheSource>
  <cacheFields count="14">
    <cacheField name="Transaction ID" numFmtId="0">
      <sharedItems/>
    </cacheField>
    <cacheField name="Customer ID" numFmtId="0">
      <sharedItems/>
    </cacheField>
    <cacheField name="Column1" numFmtId="0">
      <sharedItems/>
    </cacheField>
    <cacheField name="Item" numFmtId="0">
      <sharedItems count="13">
        <s v="Item_10_PAT"/>
        <s v="Item_17_MILK"/>
        <s v="Item_16_BEV"/>
        <s v="Item_6_FOOD"/>
        <s v="Item _Unknown_ PAT"/>
        <s v="Item _Unknown_ MIL"/>
        <s v="Item _Unknown_ FOO"/>
        <e v="#REF!"/>
        <s v="Item _Unknown_ FUR"/>
        <s v="Item _Unknown_ BUT"/>
        <s v="Item _Unknown_ ELE"/>
        <s v="Item _Unknown_ BEV"/>
        <s v="Item _Unknown_ COM"/>
      </sharedItems>
    </cacheField>
    <cacheField name="Price Per Unit" numFmtId="0">
      <sharedItems containsSemiMixedTypes="0" containsString="0" containsNumber="1" minValue="5" maxValue="41"/>
    </cacheField>
    <cacheField name="Quantity" numFmtId="0">
      <sharedItems containsSemiMixedTypes="0" containsString="0" containsNumber="1" containsInteger="1" minValue="1" maxValue="10"/>
    </cacheField>
    <cacheField name="Total Spent" numFmtId="0">
      <sharedItems containsSemiMixedTypes="0" containsString="0" containsNumber="1" minValue="5" maxValue="410"/>
    </cacheField>
    <cacheField name="Payment Method" numFmtId="0">
      <sharedItems count="3">
        <s v="Digital Wallet"/>
        <s v="Credit Card"/>
        <s v="Cash"/>
      </sharedItems>
    </cacheField>
    <cacheField name="Location" numFmtId="0">
      <sharedItems count="2">
        <s v="Online"/>
        <s v="In-store"/>
      </sharedItems>
    </cacheField>
    <cacheField name="Transaction Date" numFmtId="0">
      <sharedItems containsDate="1" containsMixedTypes="1" minDate="2022-01-04T00:00:00" maxDate="2025-12-02T00:00:00"/>
    </cacheField>
    <cacheField name="Discount Applied" numFmtId="0">
      <sharedItems containsBlank="1"/>
    </cacheField>
    <cacheField name="Discount Applied2" numFmtId="0">
      <sharedItems/>
    </cacheField>
    <cacheField name="Check Discount Clean" numFmtId="0">
      <sharedItems count="1">
        <s v="No Discount"/>
      </sharedItems>
    </cacheField>
    <cacheField name="Unit price Category" numFmtId="0">
      <sharedItems count="3">
        <s v="Loss"/>
        <s v="Medium"/>
        <s v="High Profi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7">
  <r>
    <s v="TXN_6867343"/>
    <s v="CUST_09"/>
    <s v="Patisserie"/>
    <x v="0"/>
    <n v="18.5"/>
    <n v="10"/>
    <n v="185"/>
    <x v="0"/>
    <x v="0"/>
    <d v="2024-08-04T00:00:00"/>
    <b v="1"/>
    <b v="0"/>
    <x v="0"/>
    <x v="0"/>
  </r>
  <r>
    <s v="TXN_3731986"/>
    <s v="CUST_22"/>
    <s v="Milk Products"/>
    <x v="1"/>
    <n v="29"/>
    <n v="9"/>
    <n v="261"/>
    <x v="0"/>
    <x v="0"/>
    <s v="7/23/2023"/>
    <b v="0"/>
    <b v="0"/>
    <x v="0"/>
    <x v="1"/>
  </r>
  <r>
    <s v="TXN_9458126"/>
    <s v="CUST_06"/>
    <s v="Beverages"/>
    <x v="2"/>
    <n v="27.5"/>
    <n v="9"/>
    <n v="247.5"/>
    <x v="1"/>
    <x v="0"/>
    <d v="2022-07-05T00:00:00"/>
    <m/>
    <b v="0"/>
    <x v="0"/>
    <x v="1"/>
  </r>
  <r>
    <s v="TXN_4575373"/>
    <s v="CUST_05"/>
    <s v="Food"/>
    <x v="3"/>
    <n v="12.5"/>
    <n v="7"/>
    <n v="87.5"/>
    <x v="0"/>
    <x v="0"/>
    <d v="2022-02-10T00:00:00"/>
    <b v="0"/>
    <b v="0"/>
    <x v="0"/>
    <x v="0"/>
  </r>
  <r>
    <s v="TXN_7482416"/>
    <s v="CUST_09"/>
    <s v="Patisserie"/>
    <x v="4"/>
    <n v="20"/>
    <n v="10"/>
    <n v="200"/>
    <x v="1"/>
    <x v="0"/>
    <s v="11/30/2023"/>
    <m/>
    <b v="0"/>
    <x v="0"/>
    <x v="0"/>
  </r>
  <r>
    <s v="TXN_3652209"/>
    <s v="CUST_07"/>
    <s v="Food"/>
    <x v="5"/>
    <n v="5"/>
    <n v="8"/>
    <n v="40"/>
    <x v="1"/>
    <x v="1"/>
    <d v="2023-10-06T00:00:00"/>
    <b v="1"/>
    <b v="0"/>
    <x v="0"/>
    <x v="0"/>
  </r>
  <r>
    <s v="TXN_9728486"/>
    <s v="CUST_23"/>
    <s v="Furniture"/>
    <x v="6"/>
    <n v="27.5"/>
    <n v="1"/>
    <n v="27.5"/>
    <x v="1"/>
    <x v="1"/>
    <s v="4/26/2023"/>
    <b v="0"/>
    <b v="0"/>
    <x v="0"/>
    <x v="1"/>
  </r>
  <r>
    <s v="TXN_2722661"/>
    <s v="CUST_25"/>
    <s v="Butchers"/>
    <x v="4"/>
    <n v="36.5"/>
    <n v="3"/>
    <n v="109.5"/>
    <x v="2"/>
    <x v="0"/>
    <s v="3/14/2024"/>
    <b v="0"/>
    <b v="0"/>
    <x v="0"/>
    <x v="2"/>
  </r>
  <r>
    <s v="TXN_8776416"/>
    <s v="CUST_22"/>
    <s v="Butchers"/>
    <x v="6"/>
    <n v="8"/>
    <n v="9"/>
    <n v="72"/>
    <x v="2"/>
    <x v="1"/>
    <s v="12/14/2024"/>
    <b v="0"/>
    <b v="0"/>
    <x v="0"/>
    <x v="0"/>
  </r>
  <r>
    <s v="TXN_5422631"/>
    <s v="CUST_09"/>
    <s v="Milk Products"/>
    <x v="7"/>
    <n v="6.5"/>
    <n v="8"/>
    <n v="52"/>
    <x v="0"/>
    <x v="1"/>
    <d v="2025-12-01T00:00:00"/>
    <b v="1"/>
    <b v="0"/>
    <x v="0"/>
    <x v="0"/>
  </r>
  <r>
    <s v="TXN_5874772"/>
    <s v="CUST_23"/>
    <s v="Food"/>
    <x v="8"/>
    <n v="6.5"/>
    <n v="7"/>
    <n v="45.5"/>
    <x v="2"/>
    <x v="0"/>
    <d v="2023-09-09T00:00:00"/>
    <b v="1"/>
    <b v="0"/>
    <x v="0"/>
    <x v="0"/>
  </r>
  <r>
    <s v="TXN_4413070"/>
    <s v="CUST_14"/>
    <s v="Patisserie"/>
    <x v="9"/>
    <n v="39.5"/>
    <n v="6"/>
    <n v="237"/>
    <x v="0"/>
    <x v="1"/>
    <s v="5/20/2022"/>
    <b v="0"/>
    <b v="0"/>
    <x v="0"/>
    <x v="2"/>
  </r>
  <r>
    <s v="TXN_2490363"/>
    <s v="CUST_09"/>
    <s v="Milk Products"/>
    <x v="9"/>
    <n v="27.5"/>
    <n v="2"/>
    <n v="55"/>
    <x v="0"/>
    <x v="0"/>
    <s v="5/22/2022"/>
    <m/>
    <b v="0"/>
    <x v="0"/>
    <x v="1"/>
  </r>
  <r>
    <s v="TXN_7563311"/>
    <s v="CUST_23"/>
    <s v="Patisserie"/>
    <x v="6"/>
    <n v="29"/>
    <n v="8"/>
    <n v="232"/>
    <x v="2"/>
    <x v="0"/>
    <s v="11/16/2024"/>
    <b v="0"/>
    <b v="0"/>
    <x v="0"/>
    <x v="1"/>
  </r>
  <r>
    <s v="TXN_9634894"/>
    <s v="CUST_15"/>
    <s v="Milk Products"/>
    <x v="4"/>
    <n v="27.5"/>
    <n v="10"/>
    <n v="275"/>
    <x v="0"/>
    <x v="0"/>
    <s v="4/17/2022"/>
    <m/>
    <b v="0"/>
    <x v="0"/>
    <x v="1"/>
  </r>
  <r>
    <s v="TXN_4396807"/>
    <s v="CUST_17"/>
    <s v="Electric household essentials"/>
    <x v="5"/>
    <n v="23"/>
    <n v="1"/>
    <n v="23"/>
    <x v="0"/>
    <x v="1"/>
    <d v="2022-07-02T00:00:00"/>
    <b v="0"/>
    <b v="0"/>
    <x v="0"/>
    <x v="0"/>
  </r>
  <r>
    <s v="TXN_9939063"/>
    <s v="CUST_14"/>
    <s v="Beverages"/>
    <x v="4"/>
    <n v="14"/>
    <n v="9"/>
    <n v="126"/>
    <x v="0"/>
    <x v="1"/>
    <s v="1/14/2024"/>
    <m/>
    <b v="0"/>
    <x v="0"/>
    <x v="0"/>
  </r>
  <r>
    <s v="TXN_8685338"/>
    <s v="CUST_15"/>
    <s v="Milk Products"/>
    <x v="5"/>
    <n v="35"/>
    <n v="3"/>
    <n v="105"/>
    <x v="1"/>
    <x v="1"/>
    <s v="10/29/2023"/>
    <m/>
    <b v="0"/>
    <x v="0"/>
    <x v="2"/>
  </r>
  <r>
    <s v="TXN_6547964"/>
    <s v="CUST_10"/>
    <s v="Electric household essentials"/>
    <x v="10"/>
    <n v="9.5"/>
    <n v="7"/>
    <n v="66.5"/>
    <x v="2"/>
    <x v="1"/>
    <s v="8/15/2022"/>
    <m/>
    <b v="0"/>
    <x v="0"/>
    <x v="0"/>
  </r>
  <r>
    <s v="TXN_3314099"/>
    <s v="CUST_04"/>
    <s v="Food"/>
    <x v="7"/>
    <n v="18.5"/>
    <n v="1"/>
    <n v="18.5"/>
    <x v="2"/>
    <x v="0"/>
    <s v="9/30/2023"/>
    <b v="0"/>
    <b v="0"/>
    <x v="0"/>
    <x v="0"/>
  </r>
  <r>
    <s v="TXN_9980736"/>
    <s v="CUST_13"/>
    <s v="Furniture"/>
    <x v="11"/>
    <n v="24.5"/>
    <n v="2"/>
    <n v="49"/>
    <x v="2"/>
    <x v="0"/>
    <s v="8/29/2023"/>
    <b v="0"/>
    <b v="0"/>
    <x v="0"/>
    <x v="0"/>
  </r>
  <r>
    <s v="TXN_9057609"/>
    <s v="CUST_18"/>
    <s v="Butchers"/>
    <x v="10"/>
    <n v="33.5"/>
    <n v="4"/>
    <n v="134"/>
    <x v="1"/>
    <x v="1"/>
    <s v="3/16/2022"/>
    <b v="0"/>
    <b v="0"/>
    <x v="0"/>
    <x v="1"/>
  </r>
  <r>
    <s v="TXN_1599706"/>
    <s v="CUST_14"/>
    <s v="Furniture"/>
    <x v="6"/>
    <n v="41"/>
    <n v="10"/>
    <n v="410"/>
    <x v="1"/>
    <x v="1"/>
    <s v="3/24/2024"/>
    <b v="0"/>
    <b v="0"/>
    <x v="0"/>
    <x v="2"/>
  </r>
  <r>
    <s v="TXN_1598860"/>
    <s v="CUST_08"/>
    <s v="Food"/>
    <x v="8"/>
    <n v="24.5"/>
    <n v="10"/>
    <n v="245"/>
    <x v="2"/>
    <x v="1"/>
    <s v="10/23/2022"/>
    <b v="0"/>
    <b v="0"/>
    <x v="0"/>
    <x v="0"/>
  </r>
  <r>
    <s v="TXN_7138501"/>
    <s v="CUST_18"/>
    <s v="Patisserie"/>
    <x v="7"/>
    <n v="36.5"/>
    <n v="5"/>
    <n v="182.5"/>
    <x v="1"/>
    <x v="1"/>
    <d v="2022-10-03T00:00:00"/>
    <b v="0"/>
    <b v="0"/>
    <x v="0"/>
    <x v="2"/>
  </r>
  <r>
    <s v="TXN_5444504"/>
    <s v="CUST_05"/>
    <s v="Food"/>
    <x v="9"/>
    <n v="20"/>
    <n v="10"/>
    <n v="200"/>
    <x v="0"/>
    <x v="0"/>
    <s v="4/26/2022"/>
    <b v="0"/>
    <b v="0"/>
    <x v="0"/>
    <x v="0"/>
  </r>
  <r>
    <s v="TXN_4353295"/>
    <s v="CUST_22"/>
    <s v="Patisserie"/>
    <x v="8"/>
    <n v="12.5"/>
    <n v="8"/>
    <n v="100"/>
    <x v="1"/>
    <x v="0"/>
    <d v="2022-05-04T00:00:00"/>
    <b v="1"/>
    <b v="0"/>
    <x v="0"/>
    <x v="0"/>
  </r>
  <r>
    <s v="TXN_1543244"/>
    <s v="CUST_20"/>
    <s v="Food"/>
    <x v="6"/>
    <n v="24.5"/>
    <n v="8"/>
    <n v="196"/>
    <x v="1"/>
    <x v="0"/>
    <s v="10/25/2024"/>
    <b v="0"/>
    <b v="0"/>
    <x v="0"/>
    <x v="0"/>
  </r>
  <r>
    <s v="TXN_1494700"/>
    <s v="CUST_12"/>
    <s v="Electric household essentials"/>
    <x v="4"/>
    <n v="35"/>
    <n v="9"/>
    <n v="315"/>
    <x v="1"/>
    <x v="1"/>
    <d v="2024-07-03T00:00:00"/>
    <m/>
    <b v="0"/>
    <x v="0"/>
    <x v="2"/>
  </r>
  <r>
    <s v="TXN_6398436"/>
    <s v="CUST_15"/>
    <s v="Beverages"/>
    <x v="4"/>
    <n v="41"/>
    <n v="7"/>
    <n v="287"/>
    <x v="1"/>
    <x v="1"/>
    <d v="2024-03-06T00:00:00"/>
    <b v="1"/>
    <b v="0"/>
    <x v="0"/>
    <x v="2"/>
  </r>
  <r>
    <s v="TXN_9065245"/>
    <s v="CUST_02"/>
    <s v="Food"/>
    <x v="6"/>
    <n v="38"/>
    <n v="2"/>
    <n v="76"/>
    <x v="0"/>
    <x v="1"/>
    <d v="2024-10-03T00:00:00"/>
    <b v="0"/>
    <b v="0"/>
    <x v="0"/>
    <x v="2"/>
  </r>
  <r>
    <s v="TXN_6963438"/>
    <s v="CUST_11"/>
    <s v="Furniture"/>
    <x v="10"/>
    <n v="18.5"/>
    <n v="5"/>
    <n v="92.5"/>
    <x v="1"/>
    <x v="0"/>
    <s v="4/23/2024"/>
    <b v="0"/>
    <b v="0"/>
    <x v="0"/>
    <x v="0"/>
  </r>
  <r>
    <s v="TXN_8312797"/>
    <s v="CUST_14"/>
    <s v="Beverages"/>
    <x v="7"/>
    <n v="20"/>
    <n v="5"/>
    <n v="100"/>
    <x v="0"/>
    <x v="0"/>
    <d v="2022-03-06T00:00:00"/>
    <m/>
    <b v="0"/>
    <x v="0"/>
    <x v="0"/>
  </r>
  <r>
    <s v="TXN_5836005"/>
    <s v="CUST_19"/>
    <s v="Butchers"/>
    <x v="11"/>
    <n v="38"/>
    <n v="5"/>
    <n v="190"/>
    <x v="1"/>
    <x v="1"/>
    <s v="10/19/2024"/>
    <b v="0"/>
    <b v="0"/>
    <x v="0"/>
    <x v="2"/>
  </r>
  <r>
    <s v="TXN_4223250"/>
    <s v="CUST_16"/>
    <s v="Beverages"/>
    <x v="6"/>
    <n v="36.5"/>
    <n v="7"/>
    <n v="255.5"/>
    <x v="2"/>
    <x v="0"/>
    <s v="5/31/2023"/>
    <b v="0"/>
    <b v="0"/>
    <x v="0"/>
    <x v="2"/>
  </r>
  <r>
    <s v="TXN_1019817"/>
    <s v="CUST_16"/>
    <s v="Electric household essentials"/>
    <x v="8"/>
    <n v="18.5"/>
    <n v="5"/>
    <n v="92.5"/>
    <x v="2"/>
    <x v="0"/>
    <d v="2022-01-08T00:00:00"/>
    <m/>
    <b v="0"/>
    <x v="0"/>
    <x v="0"/>
  </r>
  <r>
    <s v="TXN_1110407"/>
    <s v="CUST_25"/>
    <s v="Butchers"/>
    <x v="11"/>
    <n v="39.5"/>
    <n v="7"/>
    <n v="276.5"/>
    <x v="0"/>
    <x v="1"/>
    <s v="10/21/2022"/>
    <m/>
    <b v="0"/>
    <x v="0"/>
    <x v="2"/>
  </r>
  <r>
    <s v="TXN_6276518"/>
    <s v="CUST_24"/>
    <s v="Beverages"/>
    <x v="9"/>
    <n v="15.5"/>
    <n v="3"/>
    <n v="46.5"/>
    <x v="2"/>
    <x v="1"/>
    <d v="2024-08-04T00:00:00"/>
    <m/>
    <b v="0"/>
    <x v="0"/>
    <x v="0"/>
  </r>
  <r>
    <s v="TXN_4740738"/>
    <s v="CUST_25"/>
    <s v="Food"/>
    <x v="11"/>
    <n v="8"/>
    <n v="1"/>
    <n v="8"/>
    <x v="0"/>
    <x v="1"/>
    <s v="4/19/2022"/>
    <m/>
    <b v="0"/>
    <x v="0"/>
    <x v="0"/>
  </r>
  <r>
    <s v="TXN_9587232"/>
    <s v="CUST_20"/>
    <s v="Food"/>
    <x v="10"/>
    <n v="21.5"/>
    <n v="5"/>
    <n v="107.5"/>
    <x v="0"/>
    <x v="0"/>
    <s v="2/28/2023"/>
    <b v="0"/>
    <b v="0"/>
    <x v="0"/>
    <x v="0"/>
  </r>
  <r>
    <s v="TXN_6404316"/>
    <s v="CUST_04"/>
    <s v="Computers and electric accessories"/>
    <x v="9"/>
    <n v="27.5"/>
    <n v="6"/>
    <n v="165"/>
    <x v="1"/>
    <x v="0"/>
    <d v="2022-06-04T00:00:00"/>
    <b v="0"/>
    <b v="0"/>
    <x v="0"/>
    <x v="1"/>
  </r>
  <r>
    <s v="TXN_9331642"/>
    <s v="CUST_12"/>
    <s v="Patisserie"/>
    <x v="11"/>
    <n v="20"/>
    <n v="4"/>
    <n v="80"/>
    <x v="1"/>
    <x v="0"/>
    <d v="2022-06-07T00:00:00"/>
    <b v="1"/>
    <b v="0"/>
    <x v="0"/>
    <x v="0"/>
  </r>
  <r>
    <s v="TXN_9729422"/>
    <s v="CUST_13"/>
    <s v="Butchers"/>
    <x v="6"/>
    <n v="27.5"/>
    <n v="6"/>
    <n v="165"/>
    <x v="1"/>
    <x v="0"/>
    <s v="12/31/2024"/>
    <b v="0"/>
    <b v="0"/>
    <x v="0"/>
    <x v="1"/>
  </r>
  <r>
    <s v="TXN_8425168"/>
    <s v="CUST_25"/>
    <s v="Milk Products"/>
    <x v="6"/>
    <n v="27.5"/>
    <n v="7"/>
    <n v="192.5"/>
    <x v="2"/>
    <x v="1"/>
    <d v="2022-12-03T00:00:00"/>
    <m/>
    <b v="0"/>
    <x v="0"/>
    <x v="1"/>
  </r>
  <r>
    <s v="TXN_5379241"/>
    <s v="CUST_05"/>
    <s v="Butchers"/>
    <x v="12"/>
    <n v="33.5"/>
    <n v="10"/>
    <n v="335"/>
    <x v="1"/>
    <x v="1"/>
    <d v="2023-12-04T00:00:00"/>
    <b v="0"/>
    <b v="0"/>
    <x v="0"/>
    <x v="1"/>
  </r>
  <r>
    <s v="TXN_8413369"/>
    <s v="CUST_23"/>
    <s v="Computers and electric accessories"/>
    <x v="4"/>
    <n v="11"/>
    <n v="6"/>
    <n v="66"/>
    <x v="1"/>
    <x v="0"/>
    <d v="2024-09-03T00:00:00"/>
    <b v="1"/>
    <b v="0"/>
    <x v="0"/>
    <x v="0"/>
  </r>
  <r>
    <s v="TXN_4836321"/>
    <s v="CUST_21"/>
    <s v="Food"/>
    <x v="9"/>
    <n v="21.5"/>
    <n v="10"/>
    <n v="215"/>
    <x v="0"/>
    <x v="1"/>
    <s v="1/14/2023"/>
    <b v="0"/>
    <b v="0"/>
    <x v="0"/>
    <x v="0"/>
  </r>
  <r>
    <s v="TXN_9451794"/>
    <s v="CUST_24"/>
    <s v="Milk Products"/>
    <x v="5"/>
    <n v="32"/>
    <n v="3"/>
    <n v="96"/>
    <x v="1"/>
    <x v="0"/>
    <s v="1/28/2024"/>
    <m/>
    <b v="0"/>
    <x v="0"/>
    <x v="1"/>
  </r>
  <r>
    <s v="TXN_8218431"/>
    <s v="CUST_01"/>
    <s v="Furniture"/>
    <x v="9"/>
    <n v="38"/>
    <n v="5"/>
    <n v="190"/>
    <x v="0"/>
    <x v="0"/>
    <s v="4/29/2023"/>
    <b v="0"/>
    <b v="0"/>
    <x v="0"/>
    <x v="2"/>
  </r>
  <r>
    <s v="TXN_2383377"/>
    <s v="CUST_15"/>
    <s v="Furniture"/>
    <x v="12"/>
    <n v="14"/>
    <n v="3"/>
    <n v="42"/>
    <x v="0"/>
    <x v="1"/>
    <d v="2023-02-04T00:00:00"/>
    <m/>
    <b v="0"/>
    <x v="0"/>
    <x v="0"/>
  </r>
  <r>
    <s v="TXN_7909783"/>
    <s v="CUST_12"/>
    <s v="Computers and electric accessories"/>
    <x v="6"/>
    <n v="11"/>
    <n v="1"/>
    <n v="11"/>
    <x v="1"/>
    <x v="0"/>
    <s v="12/17/2023"/>
    <b v="0"/>
    <b v="0"/>
    <x v="0"/>
    <x v="0"/>
  </r>
  <r>
    <s v="TXN_5046007"/>
    <s v="CUST_07"/>
    <s v="Computers and electric accessories"/>
    <x v="5"/>
    <n v="26"/>
    <n v="9"/>
    <n v="234"/>
    <x v="2"/>
    <x v="0"/>
    <s v="7/22/2024"/>
    <b v="0"/>
    <b v="0"/>
    <x v="0"/>
    <x v="1"/>
  </r>
  <r>
    <s v="TXN_6966182"/>
    <s v="CUST_02"/>
    <s v="Furniture"/>
    <x v="8"/>
    <n v="27.5"/>
    <n v="9"/>
    <n v="247.5"/>
    <x v="2"/>
    <x v="0"/>
    <d v="2024-06-09T00:00:00"/>
    <m/>
    <b v="0"/>
    <x v="0"/>
    <x v="1"/>
  </r>
  <r>
    <s v="TXN_3424571"/>
    <s v="CUST_09"/>
    <s v="Milk Products"/>
    <x v="8"/>
    <n v="12.5"/>
    <n v="7"/>
    <n v="87.5"/>
    <x v="1"/>
    <x v="0"/>
    <s v="1/13/2023"/>
    <b v="0"/>
    <b v="0"/>
    <x v="0"/>
    <x v="0"/>
  </r>
  <r>
    <s v="TXN_6820452"/>
    <s v="CUST_10"/>
    <s v="Computers and electric accessories"/>
    <x v="12"/>
    <n v="39.5"/>
    <n v="8"/>
    <n v="316"/>
    <x v="1"/>
    <x v="1"/>
    <s v="4/18/2023"/>
    <b v="0"/>
    <b v="0"/>
    <x v="0"/>
    <x v="2"/>
  </r>
  <r>
    <s v="TXN_1998771"/>
    <s v="CUST_25"/>
    <s v="Milk Products"/>
    <x v="12"/>
    <n v="27.5"/>
    <n v="3"/>
    <n v="82.5"/>
    <x v="0"/>
    <x v="0"/>
    <d v="2024-07-11T00:00:00"/>
    <b v="1"/>
    <b v="0"/>
    <x v="0"/>
    <x v="1"/>
  </r>
  <r>
    <s v="TXN_1132097"/>
    <s v="CUST_24"/>
    <s v="Patisserie"/>
    <x v="8"/>
    <n v="20"/>
    <n v="9"/>
    <n v="180"/>
    <x v="1"/>
    <x v="1"/>
    <s v="5/18/2023"/>
    <b v="0"/>
    <b v="0"/>
    <x v="0"/>
    <x v="0"/>
  </r>
  <r>
    <s v="TXN_5418871"/>
    <s v="CUST_04"/>
    <s v="Computers and electric accessories"/>
    <x v="5"/>
    <n v="36.5"/>
    <n v="7"/>
    <n v="255.5"/>
    <x v="2"/>
    <x v="1"/>
    <s v="3/16/2022"/>
    <b v="0"/>
    <b v="0"/>
    <x v="0"/>
    <x v="2"/>
  </r>
  <r>
    <s v="TXN_6952276"/>
    <s v="CUST_01"/>
    <s v="Food"/>
    <x v="12"/>
    <n v="36.5"/>
    <n v="10"/>
    <n v="365"/>
    <x v="1"/>
    <x v="0"/>
    <d v="2024-02-08T00:00:00"/>
    <b v="1"/>
    <b v="0"/>
    <x v="0"/>
    <x v="2"/>
  </r>
  <r>
    <s v="TXN_6340470"/>
    <s v="CUST_17"/>
    <s v="Butchers"/>
    <x v="5"/>
    <n v="6.5"/>
    <n v="6"/>
    <n v="39"/>
    <x v="1"/>
    <x v="1"/>
    <d v="2022-12-10T00:00:00"/>
    <m/>
    <b v="0"/>
    <x v="0"/>
    <x v="0"/>
  </r>
  <r>
    <s v="TXN_5885894"/>
    <s v="CUST_01"/>
    <s v="Patisserie"/>
    <x v="4"/>
    <n v="24.5"/>
    <n v="10"/>
    <n v="245"/>
    <x v="1"/>
    <x v="1"/>
    <d v="2022-09-02T00:00:00"/>
    <b v="0"/>
    <b v="0"/>
    <x v="0"/>
    <x v="0"/>
  </r>
  <r>
    <s v="TXN_3671271"/>
    <s v="CUST_18"/>
    <s v="Patisserie"/>
    <x v="12"/>
    <n v="21.5"/>
    <n v="8"/>
    <n v="172"/>
    <x v="2"/>
    <x v="1"/>
    <s v="11/27/2023"/>
    <b v="0"/>
    <b v="0"/>
    <x v="0"/>
    <x v="0"/>
  </r>
  <r>
    <s v="TXN_2719047"/>
    <s v="CUST_03"/>
    <s v="Butchers"/>
    <x v="6"/>
    <n v="33.5"/>
    <n v="4"/>
    <n v="134"/>
    <x v="1"/>
    <x v="0"/>
    <s v="11/21/2023"/>
    <m/>
    <b v="0"/>
    <x v="0"/>
    <x v="1"/>
  </r>
  <r>
    <s v="TXN_9908330"/>
    <s v="CUST_19"/>
    <s v="Food"/>
    <x v="9"/>
    <n v="30.5"/>
    <n v="4"/>
    <n v="122"/>
    <x v="1"/>
    <x v="0"/>
    <s v="9/29/2022"/>
    <b v="0"/>
    <b v="0"/>
    <x v="0"/>
    <x v="1"/>
  </r>
  <r>
    <s v="TXN_2016332"/>
    <s v="CUST_17"/>
    <s v="Patisserie"/>
    <x v="4"/>
    <n v="5"/>
    <n v="6"/>
    <n v="30"/>
    <x v="0"/>
    <x v="0"/>
    <s v="12/17/2022"/>
    <b v="0"/>
    <b v="0"/>
    <x v="0"/>
    <x v="0"/>
  </r>
  <r>
    <s v="TXN_7363165"/>
    <s v="CUST_25"/>
    <s v="Beverages"/>
    <x v="4"/>
    <n v="9.5"/>
    <n v="7"/>
    <n v="66.5"/>
    <x v="0"/>
    <x v="1"/>
    <s v="3/25/2023"/>
    <m/>
    <b v="0"/>
    <x v="0"/>
    <x v="0"/>
  </r>
  <r>
    <s v="TXN_1260450"/>
    <s v="CUST_25"/>
    <s v="Furniture"/>
    <x v="9"/>
    <n v="36.5"/>
    <n v="10"/>
    <n v="365"/>
    <x v="0"/>
    <x v="1"/>
    <s v="12/24/2023"/>
    <b v="0"/>
    <b v="0"/>
    <x v="0"/>
    <x v="2"/>
  </r>
  <r>
    <s v="TXN_6315447"/>
    <s v="CUST_21"/>
    <s v="Patisserie"/>
    <x v="6"/>
    <n v="14"/>
    <n v="9"/>
    <n v="126"/>
    <x v="0"/>
    <x v="1"/>
    <d v="2025-12-01T00:00:00"/>
    <b v="0"/>
    <b v="0"/>
    <x v="0"/>
    <x v="0"/>
  </r>
  <r>
    <s v="TXN_5973228"/>
    <s v="CUST_12"/>
    <s v="Beverages"/>
    <x v="4"/>
    <n v="14"/>
    <n v="6"/>
    <n v="84"/>
    <x v="0"/>
    <x v="0"/>
    <s v="12/25/2023"/>
    <b v="0"/>
    <b v="0"/>
    <x v="0"/>
    <x v="0"/>
  </r>
  <r>
    <s v="TXN_2780662"/>
    <s v="CUST_02"/>
    <s v="Milk Products"/>
    <x v="11"/>
    <n v="32"/>
    <n v="10"/>
    <n v="320"/>
    <x v="0"/>
    <x v="1"/>
    <s v="1/19/2023"/>
    <m/>
    <b v="0"/>
    <x v="0"/>
    <x v="1"/>
  </r>
  <r>
    <s v="TXN_1142481"/>
    <s v="CUST_02"/>
    <s v="Beverages"/>
    <x v="8"/>
    <n v="36.5"/>
    <n v="6"/>
    <n v="219"/>
    <x v="2"/>
    <x v="1"/>
    <d v="2023-07-02T00:00:00"/>
    <b v="1"/>
    <b v="0"/>
    <x v="0"/>
    <x v="2"/>
  </r>
  <r>
    <s v="TXN_3933685"/>
    <s v="CUST_09"/>
    <s v="Computers and electric accessories"/>
    <x v="4"/>
    <n v="33.5"/>
    <n v="10"/>
    <n v="335"/>
    <x v="1"/>
    <x v="0"/>
    <s v="4/15/2022"/>
    <m/>
    <b v="0"/>
    <x v="0"/>
    <x v="1"/>
  </r>
  <r>
    <s v="TXN_8955685"/>
    <s v="CUST_24"/>
    <s v="Food"/>
    <x v="11"/>
    <n v="33.5"/>
    <n v="2"/>
    <n v="67"/>
    <x v="0"/>
    <x v="0"/>
    <s v="4/24/2023"/>
    <m/>
    <b v="0"/>
    <x v="0"/>
    <x v="1"/>
  </r>
  <r>
    <s v="TXN_1061030"/>
    <s v="CUST_20"/>
    <s v="Computers and electric accessories"/>
    <x v="5"/>
    <n v="36.5"/>
    <n v="4"/>
    <n v="146"/>
    <x v="0"/>
    <x v="0"/>
    <s v="7/14/2024"/>
    <b v="0"/>
    <b v="0"/>
    <x v="0"/>
    <x v="2"/>
  </r>
  <r>
    <s v="TXN_7821493"/>
    <s v="CUST_07"/>
    <s v="Patisserie"/>
    <x v="11"/>
    <n v="29"/>
    <n v="10"/>
    <n v="290"/>
    <x v="1"/>
    <x v="1"/>
    <s v="12/17/2024"/>
    <m/>
    <b v="0"/>
    <x v="0"/>
    <x v="1"/>
  </r>
  <r>
    <s v="TXN_8114453"/>
    <s v="CUST_10"/>
    <s v="Electric household essentials"/>
    <x v="12"/>
    <n v="35"/>
    <n v="2"/>
    <n v="70"/>
    <x v="0"/>
    <x v="1"/>
    <d v="2023-09-05T00:00:00"/>
    <b v="0"/>
    <b v="0"/>
    <x v="0"/>
    <x v="2"/>
  </r>
  <r>
    <s v="TXN_8024803"/>
    <s v="CUST_09"/>
    <s v="Furniture"/>
    <x v="6"/>
    <n v="20"/>
    <n v="8"/>
    <n v="160"/>
    <x v="0"/>
    <x v="1"/>
    <s v="8/22/2024"/>
    <b v="0"/>
    <b v="0"/>
    <x v="0"/>
    <x v="0"/>
  </r>
  <r>
    <s v="TXN_5062634"/>
    <s v="CUST_04"/>
    <s v="Patisserie"/>
    <x v="4"/>
    <n v="41"/>
    <n v="2"/>
    <n v="82"/>
    <x v="1"/>
    <x v="0"/>
    <d v="2023-06-07T00:00:00"/>
    <b v="1"/>
    <b v="0"/>
    <x v="0"/>
    <x v="2"/>
  </r>
  <r>
    <s v="TXN_8244728"/>
    <s v="CUST_08"/>
    <s v="Food"/>
    <x v="10"/>
    <n v="14"/>
    <n v="1"/>
    <n v="14"/>
    <x v="1"/>
    <x v="1"/>
    <s v="4/27/2024"/>
    <m/>
    <b v="0"/>
    <x v="0"/>
    <x v="0"/>
  </r>
  <r>
    <s v="TXN_3858145"/>
    <s v="CUST_17"/>
    <s v="Furniture"/>
    <x v="8"/>
    <n v="35"/>
    <n v="3"/>
    <n v="105"/>
    <x v="0"/>
    <x v="0"/>
    <d v="2023-01-04T00:00:00"/>
    <m/>
    <b v="0"/>
    <x v="0"/>
    <x v="2"/>
  </r>
  <r>
    <s v="TXN_2646301"/>
    <s v="CUST_18"/>
    <s v="Furniture"/>
    <x v="7"/>
    <n v="39.5"/>
    <n v="9"/>
    <n v="355.5"/>
    <x v="1"/>
    <x v="1"/>
    <d v="2022-07-12T00:00:00"/>
    <b v="0"/>
    <b v="0"/>
    <x v="0"/>
    <x v="2"/>
  </r>
  <r>
    <s v="TXN_2414530"/>
    <s v="CUST_24"/>
    <s v="Milk Products"/>
    <x v="4"/>
    <n v="15.5"/>
    <n v="8"/>
    <n v="124"/>
    <x v="2"/>
    <x v="0"/>
    <s v="6/20/2024"/>
    <m/>
    <b v="0"/>
    <x v="0"/>
    <x v="0"/>
  </r>
  <r>
    <s v="TXN_8322008"/>
    <s v="CUST_22"/>
    <s v="Food"/>
    <x v="6"/>
    <n v="9.5"/>
    <n v="3"/>
    <n v="28.5"/>
    <x v="2"/>
    <x v="1"/>
    <s v="8/20/2024"/>
    <b v="0"/>
    <b v="0"/>
    <x v="0"/>
    <x v="0"/>
  </r>
  <r>
    <s v="TXN_3035546"/>
    <s v="CUST_19"/>
    <s v="Beverages"/>
    <x v="8"/>
    <n v="24.5"/>
    <n v="2"/>
    <n v="49"/>
    <x v="1"/>
    <x v="1"/>
    <d v="2023-12-07T00:00:00"/>
    <b v="1"/>
    <b v="0"/>
    <x v="0"/>
    <x v="0"/>
  </r>
  <r>
    <s v="TXN_7296720"/>
    <s v="CUST_18"/>
    <s v="Patisserie"/>
    <x v="8"/>
    <n v="9.5"/>
    <n v="5"/>
    <n v="47.5"/>
    <x v="2"/>
    <x v="0"/>
    <d v="2024-12-09T00:00:00"/>
    <m/>
    <b v="0"/>
    <x v="0"/>
    <x v="0"/>
  </r>
  <r>
    <s v="TXN_8414071"/>
    <s v="CUST_20"/>
    <s v="Patisserie"/>
    <x v="5"/>
    <n v="21.5"/>
    <n v="9"/>
    <n v="193.5"/>
    <x v="2"/>
    <x v="1"/>
    <d v="2023-02-05T00:00:00"/>
    <b v="1"/>
    <b v="0"/>
    <x v="0"/>
    <x v="0"/>
  </r>
  <r>
    <s v="TXN_5705131"/>
    <s v="CUST_19"/>
    <s v="Milk Products"/>
    <x v="6"/>
    <n v="9.5"/>
    <n v="4"/>
    <n v="38"/>
    <x v="0"/>
    <x v="0"/>
    <s v="3/27/2024"/>
    <b v="0"/>
    <b v="0"/>
    <x v="0"/>
    <x v="0"/>
  </r>
  <r>
    <s v="TXN_5938028"/>
    <s v="CUST_18"/>
    <s v="Computers and electric accessories"/>
    <x v="11"/>
    <n v="14"/>
    <n v="1"/>
    <n v="14"/>
    <x v="0"/>
    <x v="0"/>
    <s v="2/20/2023"/>
    <b v="0"/>
    <b v="0"/>
    <x v="0"/>
    <x v="0"/>
  </r>
  <r>
    <s v="TXN_1958345"/>
    <s v="CUST_08"/>
    <s v="Electric household essentials"/>
    <x v="4"/>
    <n v="9.5"/>
    <n v="8"/>
    <n v="76"/>
    <x v="2"/>
    <x v="1"/>
    <s v="6/28/2024"/>
    <m/>
    <b v="0"/>
    <x v="0"/>
    <x v="0"/>
  </r>
  <r>
    <s v="TXN_1528585"/>
    <s v="CUST_15"/>
    <s v="Electric household essentials"/>
    <x v="4"/>
    <n v="12.5"/>
    <n v="1"/>
    <n v="12.5"/>
    <x v="1"/>
    <x v="1"/>
    <s v="9/17/2024"/>
    <m/>
    <b v="0"/>
    <x v="0"/>
    <x v="0"/>
  </r>
  <r>
    <s v="TXN_9619859"/>
    <s v="CUST_01"/>
    <s v="Butchers"/>
    <x v="5"/>
    <n v="35"/>
    <n v="4"/>
    <n v="140"/>
    <x v="2"/>
    <x v="1"/>
    <d v="2024-05-04T00:00:00"/>
    <b v="0"/>
    <b v="0"/>
    <x v="0"/>
    <x v="2"/>
  </r>
  <r>
    <s v="TXN_6158929"/>
    <s v="CUST_21"/>
    <s v="Food"/>
    <x v="12"/>
    <n v="20"/>
    <n v="6"/>
    <n v="120"/>
    <x v="2"/>
    <x v="0"/>
    <s v="1/29/2022"/>
    <b v="0"/>
    <b v="0"/>
    <x v="0"/>
    <x v="0"/>
  </r>
  <r>
    <s v="TXN_7209607"/>
    <s v="CUST_25"/>
    <s v="Food"/>
    <x v="10"/>
    <n v="30.5"/>
    <n v="6"/>
    <n v="183"/>
    <x v="1"/>
    <x v="1"/>
    <s v="8/25/2023"/>
    <m/>
    <b v="0"/>
    <x v="0"/>
    <x v="1"/>
  </r>
  <r>
    <s v="TXN_5328604"/>
    <s v="CUST_07"/>
    <s v="Food"/>
    <x v="10"/>
    <n v="33.5"/>
    <n v="10"/>
    <n v="335"/>
    <x v="2"/>
    <x v="0"/>
    <d v="2024-08-07T00:00:00"/>
    <b v="0"/>
    <b v="0"/>
    <x v="0"/>
    <x v="1"/>
  </r>
  <r>
    <s v="TXN_4324641"/>
    <s v="CUST_01"/>
    <s v="Patisserie"/>
    <x v="9"/>
    <n v="27.5"/>
    <n v="6"/>
    <n v="165"/>
    <x v="2"/>
    <x v="1"/>
    <d v="2023-07-11T00:00:00"/>
    <b v="0"/>
    <b v="0"/>
    <x v="0"/>
    <x v="1"/>
  </r>
  <r>
    <s v="TXN_9464391"/>
    <s v="CUST_04"/>
    <s v="Food"/>
    <x v="6"/>
    <n v="30.5"/>
    <n v="10"/>
    <n v="305"/>
    <x v="2"/>
    <x v="0"/>
    <s v="11/17/2023"/>
    <m/>
    <b v="0"/>
    <x v="0"/>
    <x v="1"/>
  </r>
  <r>
    <s v="TXN_2940500"/>
    <s v="CUST_06"/>
    <s v="Computers and electric accessories"/>
    <x v="6"/>
    <n v="41"/>
    <n v="1"/>
    <n v="41"/>
    <x v="2"/>
    <x v="1"/>
    <d v="2024-05-11T00:00:00"/>
    <b v="0"/>
    <b v="0"/>
    <x v="0"/>
    <x v="2"/>
  </r>
  <r>
    <s v="TXN_1945960"/>
    <s v="CUST_09"/>
    <s v="Butchers"/>
    <x v="6"/>
    <n v="15.5"/>
    <n v="10"/>
    <n v="155"/>
    <x v="0"/>
    <x v="1"/>
    <d v="2023-06-04T00:00:00"/>
    <b v="0"/>
    <b v="0"/>
    <x v="0"/>
    <x v="0"/>
  </r>
  <r>
    <s v="TXN_8219228"/>
    <s v="CUST_17"/>
    <s v="Computers and electric accessories"/>
    <x v="4"/>
    <n v="18.5"/>
    <n v="5"/>
    <n v="92.5"/>
    <x v="2"/>
    <x v="0"/>
    <s v="5/27/2022"/>
    <b v="0"/>
    <b v="0"/>
    <x v="0"/>
    <x v="0"/>
  </r>
  <r>
    <s v="TXN_5471094"/>
    <s v="CUST_14"/>
    <s v="Butchers"/>
    <x v="6"/>
    <n v="6.5"/>
    <n v="3"/>
    <n v="19.5"/>
    <x v="0"/>
    <x v="1"/>
    <s v="8/24/2022"/>
    <b v="0"/>
    <b v="0"/>
    <x v="0"/>
    <x v="0"/>
  </r>
  <r>
    <s v="TXN_9255329"/>
    <s v="CUST_01"/>
    <s v="Furniture"/>
    <x v="12"/>
    <n v="41"/>
    <n v="7"/>
    <n v="287"/>
    <x v="0"/>
    <x v="1"/>
    <d v="2022-02-03T00:00:00"/>
    <b v="0"/>
    <b v="0"/>
    <x v="0"/>
    <x v="2"/>
  </r>
  <r>
    <s v="TXN_9279462"/>
    <s v="CUST_25"/>
    <s v="Furniture"/>
    <x v="9"/>
    <n v="11"/>
    <n v="3"/>
    <n v="33"/>
    <x v="1"/>
    <x v="1"/>
    <d v="2022-05-02T00:00:00"/>
    <b v="0"/>
    <b v="0"/>
    <x v="0"/>
    <x v="0"/>
  </r>
  <r>
    <s v="TXN_7956502"/>
    <s v="CUST_06"/>
    <s v="Butchers"/>
    <x v="12"/>
    <n v="15.5"/>
    <n v="7"/>
    <n v="108.5"/>
    <x v="1"/>
    <x v="1"/>
    <s v="4/30/2024"/>
    <m/>
    <b v="0"/>
    <x v="0"/>
    <x v="0"/>
  </r>
  <r>
    <s v="TXN_1352831"/>
    <s v="CUST_04"/>
    <s v="Food"/>
    <x v="9"/>
    <n v="36.5"/>
    <n v="3"/>
    <n v="109.5"/>
    <x v="1"/>
    <x v="0"/>
    <s v="10/31/2023"/>
    <m/>
    <b v="0"/>
    <x v="0"/>
    <x v="2"/>
  </r>
  <r>
    <s v="TXN_4372655"/>
    <s v="CUST_08"/>
    <s v="Food"/>
    <x v="8"/>
    <n v="17"/>
    <n v="7"/>
    <n v="119"/>
    <x v="2"/>
    <x v="1"/>
    <d v="2024-03-11T00:00:00"/>
    <b v="0"/>
    <b v="0"/>
    <x v="0"/>
    <x v="0"/>
  </r>
  <r>
    <s v="TXN_7655704"/>
    <s v="CUST_11"/>
    <s v="Computers and electric accessories"/>
    <x v="9"/>
    <n v="35"/>
    <n v="8"/>
    <n v="280"/>
    <x v="0"/>
    <x v="0"/>
    <d v="2022-08-08T00:00:00"/>
    <b v="1"/>
    <b v="0"/>
    <x v="0"/>
    <x v="2"/>
  </r>
  <r>
    <s v="TXN_6908058"/>
    <s v="CUST_25"/>
    <s v="Computers and electric accessories"/>
    <x v="6"/>
    <n v="15.5"/>
    <n v="10"/>
    <n v="155"/>
    <x v="2"/>
    <x v="1"/>
    <s v="7/22/2023"/>
    <b v="0"/>
    <b v="0"/>
    <x v="0"/>
    <x v="0"/>
  </r>
  <r>
    <s v="TXN_9204828"/>
    <s v="CUST_07"/>
    <s v="Computers and electric accessories"/>
    <x v="7"/>
    <n v="41"/>
    <n v="7"/>
    <n v="287"/>
    <x v="2"/>
    <x v="0"/>
    <d v="2022-05-03T00:00:00"/>
    <m/>
    <b v="0"/>
    <x v="0"/>
    <x v="2"/>
  </r>
  <r>
    <s v="TXN_3208232"/>
    <s v="CUST_25"/>
    <s v="Electric household essentials"/>
    <x v="12"/>
    <n v="15.5"/>
    <n v="4"/>
    <n v="62"/>
    <x v="0"/>
    <x v="1"/>
    <s v="1/13/2024"/>
    <b v="0"/>
    <b v="0"/>
    <x v="0"/>
    <x v="0"/>
  </r>
  <r>
    <s v="TXN_2212643"/>
    <s v="CUST_09"/>
    <s v="Food"/>
    <x v="12"/>
    <n v="8"/>
    <n v="4"/>
    <n v="32"/>
    <x v="1"/>
    <x v="1"/>
    <s v="12/29/2022"/>
    <b v="0"/>
    <b v="0"/>
    <x v="0"/>
    <x v="0"/>
  </r>
  <r>
    <s v="TXN_8215469"/>
    <s v="CUST_17"/>
    <s v="Milk Products"/>
    <x v="12"/>
    <n v="38"/>
    <n v="10"/>
    <n v="380"/>
    <x v="0"/>
    <x v="1"/>
    <s v="3/16/2024"/>
    <m/>
    <b v="0"/>
    <x v="0"/>
    <x v="2"/>
  </r>
  <r>
    <s v="TXN_3403695"/>
    <s v="CUST_25"/>
    <s v="Beverages"/>
    <x v="10"/>
    <n v="38"/>
    <n v="8"/>
    <n v="304"/>
    <x v="2"/>
    <x v="0"/>
    <s v="9/27/2024"/>
    <b v="0"/>
    <b v="0"/>
    <x v="0"/>
    <x v="2"/>
  </r>
  <r>
    <s v="TXN_2878134"/>
    <s v="CUST_18"/>
    <s v="Butchers"/>
    <x v="7"/>
    <n v="15.5"/>
    <n v="9"/>
    <n v="139.5"/>
    <x v="1"/>
    <x v="1"/>
    <d v="2024-10-05T00:00:00"/>
    <m/>
    <b v="0"/>
    <x v="0"/>
    <x v="0"/>
  </r>
  <r>
    <s v="TXN_3123571"/>
    <s v="CUST_15"/>
    <s v="Furniture"/>
    <x v="6"/>
    <n v="38"/>
    <n v="3"/>
    <n v="114"/>
    <x v="0"/>
    <x v="0"/>
    <d v="2022-07-08T00:00:00"/>
    <m/>
    <b v="0"/>
    <x v="0"/>
    <x v="2"/>
  </r>
  <r>
    <s v="TXN_9940030"/>
    <s v="CUST_25"/>
    <s v="Beverages"/>
    <x v="5"/>
    <n v="32"/>
    <n v="6"/>
    <n v="192"/>
    <x v="1"/>
    <x v="1"/>
    <s v="1/19/2022"/>
    <b v="0"/>
    <b v="0"/>
    <x v="0"/>
    <x v="1"/>
  </r>
  <r>
    <s v="TXN_6195024"/>
    <s v="CUST_13"/>
    <s v="Beverages"/>
    <x v="11"/>
    <n v="33.5"/>
    <n v="5"/>
    <n v="167.5"/>
    <x v="2"/>
    <x v="0"/>
    <d v="2024-09-08T00:00:00"/>
    <b v="0"/>
    <b v="0"/>
    <x v="0"/>
    <x v="1"/>
  </r>
  <r>
    <s v="TXN_5243520"/>
    <s v="CUST_13"/>
    <s v="Patisserie"/>
    <x v="9"/>
    <n v="18.5"/>
    <n v="5"/>
    <n v="92.5"/>
    <x v="2"/>
    <x v="1"/>
    <s v="5/16/2024"/>
    <b v="0"/>
    <b v="0"/>
    <x v="0"/>
    <x v="0"/>
  </r>
  <r>
    <s v="TXN_4608122"/>
    <s v="CUST_21"/>
    <s v="Butchers"/>
    <x v="8"/>
    <n v="27.5"/>
    <n v="10"/>
    <n v="275"/>
    <x v="0"/>
    <x v="0"/>
    <d v="2022-01-10T00:00:00"/>
    <b v="0"/>
    <b v="0"/>
    <x v="0"/>
    <x v="1"/>
  </r>
  <r>
    <s v="TXN_6923419"/>
    <s v="CUST_17"/>
    <s v="Furniture"/>
    <x v="11"/>
    <n v="11"/>
    <n v="8"/>
    <n v="88"/>
    <x v="0"/>
    <x v="0"/>
    <s v="6/28/2022"/>
    <b v="0"/>
    <b v="0"/>
    <x v="0"/>
    <x v="0"/>
  </r>
  <r>
    <s v="TXN_1112365"/>
    <s v="CUST_19"/>
    <s v="Food"/>
    <x v="11"/>
    <n v="39.5"/>
    <n v="10"/>
    <n v="395"/>
    <x v="2"/>
    <x v="0"/>
    <s v="9/24/2023"/>
    <m/>
    <b v="0"/>
    <x v="0"/>
    <x v="2"/>
  </r>
  <r>
    <s v="TXN_6989569"/>
    <s v="CUST_11"/>
    <s v="Milk Products"/>
    <x v="4"/>
    <n v="35"/>
    <n v="2"/>
    <n v="70"/>
    <x v="1"/>
    <x v="1"/>
    <s v="1/17/2022"/>
    <b v="0"/>
    <b v="0"/>
    <x v="0"/>
    <x v="2"/>
  </r>
  <r>
    <s v="TXN_5647023"/>
    <s v="CUST_12"/>
    <s v="Furniture"/>
    <x v="9"/>
    <n v="39.5"/>
    <n v="4"/>
    <n v="158"/>
    <x v="0"/>
    <x v="1"/>
    <s v="4/14/2022"/>
    <b v="0"/>
    <b v="0"/>
    <x v="0"/>
    <x v="2"/>
  </r>
  <r>
    <s v="TXN_8049831"/>
    <s v="CUST_18"/>
    <s v="Beverages"/>
    <x v="8"/>
    <n v="12.5"/>
    <n v="2"/>
    <n v="25"/>
    <x v="2"/>
    <x v="1"/>
    <d v="2023-05-01T00:00:00"/>
    <b v="0"/>
    <b v="0"/>
    <x v="0"/>
    <x v="0"/>
  </r>
  <r>
    <s v="TXN_2953434"/>
    <s v="CUST_25"/>
    <s v="Furniture"/>
    <x v="6"/>
    <n v="41"/>
    <n v="10"/>
    <n v="410"/>
    <x v="1"/>
    <x v="1"/>
    <d v="2023-10-08T00:00:00"/>
    <m/>
    <b v="0"/>
    <x v="0"/>
    <x v="2"/>
  </r>
  <r>
    <s v="TXN_3831408"/>
    <s v="CUST_18"/>
    <s v="Milk Products"/>
    <x v="5"/>
    <n v="5"/>
    <n v="10"/>
    <n v="50"/>
    <x v="0"/>
    <x v="0"/>
    <d v="2022-11-02T00:00:00"/>
    <b v="1"/>
    <b v="0"/>
    <x v="0"/>
    <x v="0"/>
  </r>
  <r>
    <s v="TXN_1249742"/>
    <s v="CUST_05"/>
    <s v="Milk Products"/>
    <x v="8"/>
    <n v="39.5"/>
    <n v="10"/>
    <n v="395"/>
    <x v="0"/>
    <x v="0"/>
    <s v="3/21/2024"/>
    <m/>
    <b v="0"/>
    <x v="0"/>
    <x v="2"/>
  </r>
  <r>
    <s v="TXN_4633046"/>
    <s v="CUST_13"/>
    <s v="Computers and electric accessories"/>
    <x v="11"/>
    <n v="6.5"/>
    <n v="5"/>
    <n v="32.5"/>
    <x v="0"/>
    <x v="0"/>
    <s v="8/25/2023"/>
    <m/>
    <b v="0"/>
    <x v="0"/>
    <x v="0"/>
  </r>
  <r>
    <s v="TXN_3519817"/>
    <s v="CUST_22"/>
    <s v="Butchers"/>
    <x v="8"/>
    <n v="30.5"/>
    <n v="4"/>
    <n v="122"/>
    <x v="0"/>
    <x v="0"/>
    <s v="6/14/2022"/>
    <b v="0"/>
    <b v="0"/>
    <x v="0"/>
    <x v="1"/>
  </r>
  <r>
    <s v="TXN_4801202"/>
    <s v="CUST_16"/>
    <s v="Furniture"/>
    <x v="12"/>
    <n v="5"/>
    <n v="3"/>
    <n v="15"/>
    <x v="0"/>
    <x v="0"/>
    <s v="5/31/2024"/>
    <b v="0"/>
    <b v="0"/>
    <x v="0"/>
    <x v="0"/>
  </r>
  <r>
    <s v="TXN_6149882"/>
    <s v="CUST_09"/>
    <s v="Beverages"/>
    <x v="9"/>
    <n v="33.5"/>
    <n v="1"/>
    <n v="33.5"/>
    <x v="1"/>
    <x v="0"/>
    <s v="1/22/2023"/>
    <m/>
    <b v="0"/>
    <x v="0"/>
    <x v="1"/>
  </r>
  <r>
    <s v="TXN_8809000"/>
    <s v="CUST_23"/>
    <s v="Milk Products"/>
    <x v="7"/>
    <n v="8"/>
    <n v="3"/>
    <n v="24"/>
    <x v="2"/>
    <x v="1"/>
    <d v="2023-10-01T00:00:00"/>
    <m/>
    <b v="0"/>
    <x v="0"/>
    <x v="0"/>
  </r>
  <r>
    <s v="TXN_5008001"/>
    <s v="CUST_03"/>
    <s v="Electric household essentials"/>
    <x v="7"/>
    <n v="18.5"/>
    <n v="6"/>
    <n v="111"/>
    <x v="1"/>
    <x v="0"/>
    <d v="2024-04-11T00:00:00"/>
    <m/>
    <b v="0"/>
    <x v="0"/>
    <x v="0"/>
  </r>
  <r>
    <s v="TXN_5111184"/>
    <s v="CUST_19"/>
    <s v="Milk Products"/>
    <x v="8"/>
    <n v="20"/>
    <n v="6"/>
    <n v="120"/>
    <x v="1"/>
    <x v="0"/>
    <s v="7/18/2024"/>
    <b v="0"/>
    <b v="0"/>
    <x v="0"/>
    <x v="0"/>
  </r>
  <r>
    <s v="TXN_1499774"/>
    <s v="CUST_07"/>
    <s v="Butchers"/>
    <x v="11"/>
    <n v="8"/>
    <n v="5"/>
    <n v="40"/>
    <x v="1"/>
    <x v="1"/>
    <s v="12/15/2022"/>
    <b v="0"/>
    <b v="0"/>
    <x v="0"/>
    <x v="0"/>
  </r>
  <r>
    <s v="TXN_2565828"/>
    <s v="CUST_21"/>
    <s v="Food"/>
    <x v="5"/>
    <n v="39.5"/>
    <n v="10"/>
    <n v="395"/>
    <x v="1"/>
    <x v="0"/>
    <s v="2/18/2022"/>
    <b v="0"/>
    <b v="0"/>
    <x v="0"/>
    <x v="2"/>
  </r>
  <r>
    <s v="TXN_6312937"/>
    <s v="CUST_14"/>
    <s v="Computers and electric accessories"/>
    <x v="10"/>
    <n v="23"/>
    <n v="2"/>
    <n v="46"/>
    <x v="0"/>
    <x v="1"/>
    <d v="2024-09-02T00:00:00"/>
    <b v="0"/>
    <b v="0"/>
    <x v="0"/>
    <x v="0"/>
  </r>
  <r>
    <s v="TXN_8775503"/>
    <s v="CUST_08"/>
    <s v="Computers and electric accessories"/>
    <x v="5"/>
    <n v="12.5"/>
    <n v="2"/>
    <n v="25"/>
    <x v="0"/>
    <x v="1"/>
    <d v="2024-11-10T00:00:00"/>
    <b v="0"/>
    <b v="0"/>
    <x v="0"/>
    <x v="0"/>
  </r>
  <r>
    <s v="TXN_3541663"/>
    <s v="CUST_25"/>
    <s v="Furniture"/>
    <x v="9"/>
    <n v="6.5"/>
    <n v="5"/>
    <n v="32.5"/>
    <x v="0"/>
    <x v="1"/>
    <s v="7/19/2023"/>
    <m/>
    <b v="0"/>
    <x v="0"/>
    <x v="0"/>
  </r>
  <r>
    <s v="TXN_4947386"/>
    <s v="CUST_13"/>
    <s v="Food"/>
    <x v="6"/>
    <n v="30.5"/>
    <n v="10"/>
    <n v="305"/>
    <x v="2"/>
    <x v="0"/>
    <d v="2024-12-11T00:00:00"/>
    <b v="0"/>
    <b v="0"/>
    <x v="0"/>
    <x v="1"/>
  </r>
  <r>
    <s v="TXN_4276451"/>
    <s v="CUST_17"/>
    <s v="Beverages"/>
    <x v="12"/>
    <n v="36.5"/>
    <n v="1"/>
    <n v="36.5"/>
    <x v="1"/>
    <x v="0"/>
    <s v="5/27/2024"/>
    <b v="0"/>
    <b v="0"/>
    <x v="0"/>
    <x v="2"/>
  </r>
  <r>
    <s v="TXN_3380295"/>
    <s v="CUST_08"/>
    <s v="Beverages"/>
    <x v="12"/>
    <n v="12.5"/>
    <n v="5"/>
    <n v="62.5"/>
    <x v="2"/>
    <x v="0"/>
    <d v="2023-08-02T00:00:00"/>
    <b v="0"/>
    <b v="0"/>
    <x v="0"/>
    <x v="0"/>
  </r>
  <r>
    <s v="TXN_1390866"/>
    <s v="CUST_09"/>
    <s v="Patisserie"/>
    <x v="8"/>
    <n v="12.5"/>
    <n v="2"/>
    <n v="25"/>
    <x v="0"/>
    <x v="1"/>
    <s v="3/30/2024"/>
    <m/>
    <b v="0"/>
    <x v="0"/>
    <x v="0"/>
  </r>
  <r>
    <s v="TXN_8616546"/>
    <s v="CUST_09"/>
    <s v="Beverages"/>
    <x v="6"/>
    <n v="35"/>
    <n v="8"/>
    <n v="280"/>
    <x v="1"/>
    <x v="0"/>
    <d v="2023-01-04T00:00:00"/>
    <b v="1"/>
    <b v="0"/>
    <x v="0"/>
    <x v="2"/>
  </r>
  <r>
    <s v="TXN_1804192"/>
    <s v="CUST_20"/>
    <s v="Furniture"/>
    <x v="11"/>
    <n v="15.5"/>
    <n v="9"/>
    <n v="139.5"/>
    <x v="2"/>
    <x v="0"/>
    <d v="2024-07-06T00:00:00"/>
    <m/>
    <b v="0"/>
    <x v="0"/>
    <x v="0"/>
  </r>
  <r>
    <s v="TXN_5046818"/>
    <s v="CUST_02"/>
    <s v="Butchers"/>
    <x v="11"/>
    <n v="36.5"/>
    <n v="6"/>
    <n v="219"/>
    <x v="0"/>
    <x v="1"/>
    <d v="2024-03-07T00:00:00"/>
    <b v="0"/>
    <b v="0"/>
    <x v="0"/>
    <x v="2"/>
  </r>
  <r>
    <s v="TXN_4626993"/>
    <s v="CUST_24"/>
    <s v="Butchers"/>
    <x v="4"/>
    <n v="23"/>
    <n v="7"/>
    <n v="161"/>
    <x v="1"/>
    <x v="0"/>
    <s v="8/23/2023"/>
    <b v="0"/>
    <b v="0"/>
    <x v="0"/>
    <x v="0"/>
  </r>
  <r>
    <s v="TXN_5256349"/>
    <s v="CUST_25"/>
    <s v="Beverages"/>
    <x v="11"/>
    <n v="6.5"/>
    <n v="4"/>
    <n v="26"/>
    <x v="0"/>
    <x v="0"/>
    <s v="9/27/2022"/>
    <b v="0"/>
    <b v="0"/>
    <x v="0"/>
    <x v="0"/>
  </r>
  <r>
    <s v="TXN_3822751"/>
    <s v="CUST_21"/>
    <s v="Butchers"/>
    <x v="8"/>
    <n v="14"/>
    <n v="9"/>
    <n v="126"/>
    <x v="0"/>
    <x v="1"/>
    <d v="2024-04-03T00:00:00"/>
    <b v="0"/>
    <b v="0"/>
    <x v="0"/>
    <x v="0"/>
  </r>
  <r>
    <s v="TXN_1882210"/>
    <s v="CUST_13"/>
    <s v="Food"/>
    <x v="9"/>
    <n v="24.5"/>
    <n v="4"/>
    <n v="98"/>
    <x v="0"/>
    <x v="1"/>
    <d v="2022-02-03T00:00:00"/>
    <m/>
    <b v="0"/>
    <x v="0"/>
    <x v="0"/>
  </r>
  <r>
    <s v="TXN_9209383"/>
    <s v="CUST_12"/>
    <s v="Electric household essentials"/>
    <x v="9"/>
    <n v="14"/>
    <n v="9"/>
    <n v="126"/>
    <x v="1"/>
    <x v="1"/>
    <s v="9/16/2024"/>
    <b v="0"/>
    <b v="0"/>
    <x v="0"/>
    <x v="0"/>
  </r>
  <r>
    <s v="TXN_2196324"/>
    <s v="CUST_11"/>
    <s v="Butchers"/>
    <x v="11"/>
    <n v="35"/>
    <n v="9"/>
    <n v="315"/>
    <x v="2"/>
    <x v="1"/>
    <d v="2024-08-02T00:00:00"/>
    <b v="1"/>
    <b v="0"/>
    <x v="0"/>
    <x v="2"/>
  </r>
  <r>
    <s v="TXN_7020797"/>
    <s v="CUST_22"/>
    <s v="Food"/>
    <x v="9"/>
    <n v="17"/>
    <n v="5"/>
    <n v="85"/>
    <x v="0"/>
    <x v="1"/>
    <s v="4/20/2024"/>
    <b v="0"/>
    <b v="0"/>
    <x v="0"/>
    <x v="0"/>
  </r>
  <r>
    <s v="TXN_7594834"/>
    <s v="CUST_22"/>
    <s v="Furniture"/>
    <x v="6"/>
    <n v="41"/>
    <n v="1"/>
    <n v="41"/>
    <x v="1"/>
    <x v="1"/>
    <s v="3/16/2024"/>
    <b v="0"/>
    <b v="0"/>
    <x v="0"/>
    <x v="2"/>
  </r>
  <r>
    <s v="TXN_3229559"/>
    <s v="CUST_02"/>
    <s v="Beverages"/>
    <x v="10"/>
    <n v="14"/>
    <n v="9"/>
    <n v="126"/>
    <x v="0"/>
    <x v="0"/>
    <d v="2022-02-12T00:00:00"/>
    <b v="1"/>
    <b v="0"/>
    <x v="0"/>
    <x v="0"/>
  </r>
  <r>
    <s v="TXN_1336269"/>
    <s v="CUST_19"/>
    <s v="Beverages"/>
    <x v="9"/>
    <n v="14"/>
    <n v="6"/>
    <n v="84"/>
    <x v="0"/>
    <x v="0"/>
    <s v="12/25/2024"/>
    <m/>
    <b v="0"/>
    <x v="0"/>
    <x v="0"/>
  </r>
  <r>
    <s v="TXN_2479337"/>
    <s v="CUST_10"/>
    <s v="Patisserie"/>
    <x v="6"/>
    <n v="41"/>
    <n v="7"/>
    <n v="287"/>
    <x v="1"/>
    <x v="1"/>
    <d v="2023-05-08T00:00:00"/>
    <m/>
    <b v="0"/>
    <x v="0"/>
    <x v="2"/>
  </r>
  <r>
    <s v="TXN_8784273"/>
    <s v="CUST_25"/>
    <s v="Computers and electric accessories"/>
    <x v="8"/>
    <n v="24.5"/>
    <n v="4"/>
    <n v="98"/>
    <x v="2"/>
    <x v="1"/>
    <d v="2022-02-05T00:00:00"/>
    <m/>
    <b v="0"/>
    <x v="0"/>
    <x v="0"/>
  </r>
  <r>
    <s v="TXN_7771182"/>
    <s v="CUST_10"/>
    <s v="Electric household essentials"/>
    <x v="11"/>
    <n v="32"/>
    <n v="6"/>
    <n v="192"/>
    <x v="1"/>
    <x v="1"/>
    <s v="1/20/2022"/>
    <m/>
    <b v="0"/>
    <x v="0"/>
    <x v="1"/>
  </r>
  <r>
    <s v="TXN_1132339"/>
    <s v="CUST_01"/>
    <s v="Beverages"/>
    <x v="11"/>
    <n v="20"/>
    <n v="4"/>
    <n v="80"/>
    <x v="1"/>
    <x v="0"/>
    <d v="2023-12-07T00:00:00"/>
    <m/>
    <b v="0"/>
    <x v="0"/>
    <x v="0"/>
  </r>
  <r>
    <s v="TXN_8283332"/>
    <s v="CUST_16"/>
    <s v="Beverages"/>
    <x v="4"/>
    <n v="38"/>
    <n v="6"/>
    <n v="228"/>
    <x v="2"/>
    <x v="0"/>
    <s v="11/13/2023"/>
    <b v="0"/>
    <b v="0"/>
    <x v="0"/>
    <x v="2"/>
  </r>
  <r>
    <s v="TXN_9496190"/>
    <s v="CUST_18"/>
    <s v="Computers and electric accessories"/>
    <x v="12"/>
    <n v="30.5"/>
    <n v="3"/>
    <n v="91.5"/>
    <x v="2"/>
    <x v="0"/>
    <s v="2/24/2024"/>
    <m/>
    <b v="0"/>
    <x v="0"/>
    <x v="1"/>
  </r>
  <r>
    <s v="TXN_5205620"/>
    <s v="CUST_17"/>
    <s v="Patisserie"/>
    <x v="10"/>
    <n v="20"/>
    <n v="7"/>
    <n v="140"/>
    <x v="2"/>
    <x v="1"/>
    <s v="6/26/2023"/>
    <b v="0"/>
    <b v="0"/>
    <x v="0"/>
    <x v="0"/>
  </r>
  <r>
    <s v="TXN_4448047"/>
    <s v="CUST_03"/>
    <s v="Milk Products"/>
    <x v="11"/>
    <n v="15.5"/>
    <n v="6"/>
    <n v="93"/>
    <x v="1"/>
    <x v="0"/>
    <s v="6/15/2022"/>
    <b v="0"/>
    <b v="0"/>
    <x v="0"/>
    <x v="0"/>
  </r>
  <r>
    <s v="TXN_2163190"/>
    <s v="CUST_20"/>
    <s v="Patisserie"/>
    <x v="11"/>
    <n v="27.5"/>
    <n v="2"/>
    <n v="55"/>
    <x v="0"/>
    <x v="0"/>
    <s v="5/30/2022"/>
    <b v="0"/>
    <b v="0"/>
    <x v="0"/>
    <x v="1"/>
  </r>
  <r>
    <s v="TXN_3338914"/>
    <s v="CUST_16"/>
    <s v="Food"/>
    <x v="12"/>
    <n v="33.5"/>
    <n v="10"/>
    <n v="335"/>
    <x v="0"/>
    <x v="0"/>
    <s v="5/29/2024"/>
    <b v="0"/>
    <b v="0"/>
    <x v="0"/>
    <x v="1"/>
  </r>
  <r>
    <s v="TXN_8959624"/>
    <s v="CUST_09"/>
    <s v="Milk Products"/>
    <x v="4"/>
    <n v="5"/>
    <n v="7"/>
    <n v="35"/>
    <x v="0"/>
    <x v="0"/>
    <s v="12/18/2024"/>
    <b v="0"/>
    <b v="0"/>
    <x v="0"/>
    <x v="0"/>
  </r>
  <r>
    <s v="TXN_1821423"/>
    <s v="CUST_22"/>
    <s v="Furniture"/>
    <x v="5"/>
    <n v="41"/>
    <n v="2"/>
    <n v="82"/>
    <x v="1"/>
    <x v="0"/>
    <s v="1/13/2022"/>
    <m/>
    <b v="0"/>
    <x v="0"/>
    <x v="2"/>
  </r>
  <r>
    <s v="TXN_9760482"/>
    <s v="CUST_07"/>
    <s v="Computers and electric accessories"/>
    <x v="6"/>
    <n v="20"/>
    <n v="9"/>
    <n v="180"/>
    <x v="0"/>
    <x v="1"/>
    <d v="2023-06-01T00:00:00"/>
    <b v="1"/>
    <b v="0"/>
    <x v="0"/>
    <x v="0"/>
  </r>
  <r>
    <s v="TXN_8460432"/>
    <s v="CUST_15"/>
    <s v="Furniture"/>
    <x v="5"/>
    <n v="11"/>
    <n v="8"/>
    <n v="88"/>
    <x v="0"/>
    <x v="0"/>
    <d v="2022-05-02T00:00:00"/>
    <m/>
    <b v="0"/>
    <x v="0"/>
    <x v="0"/>
  </r>
  <r>
    <s v="TXN_8136588"/>
    <s v="CUST_07"/>
    <s v="Milk Products"/>
    <x v="7"/>
    <n v="27.5"/>
    <n v="7"/>
    <n v="192.5"/>
    <x v="0"/>
    <x v="1"/>
    <s v="10/24/2022"/>
    <b v="0"/>
    <b v="0"/>
    <x v="0"/>
    <x v="1"/>
  </r>
  <r>
    <s v="TXN_6630594"/>
    <s v="CUST_07"/>
    <s v="Milk Products"/>
    <x v="12"/>
    <n v="8"/>
    <n v="5"/>
    <n v="40"/>
    <x v="2"/>
    <x v="1"/>
    <d v="2023-03-12T00:00:00"/>
    <m/>
    <b v="0"/>
    <x v="0"/>
    <x v="0"/>
  </r>
  <r>
    <s v="TXN_4844684"/>
    <s v="CUST_20"/>
    <s v="Butchers"/>
    <x v="8"/>
    <n v="33.5"/>
    <n v="5"/>
    <n v="167.5"/>
    <x v="0"/>
    <x v="0"/>
    <s v="7/23/2022"/>
    <b v="0"/>
    <b v="0"/>
    <x v="0"/>
    <x v="1"/>
  </r>
  <r>
    <s v="TXN_9882772"/>
    <s v="CUST_09"/>
    <s v="Furniture"/>
    <x v="7"/>
    <n v="29"/>
    <n v="9"/>
    <n v="261"/>
    <x v="2"/>
    <x v="0"/>
    <d v="2023-07-08T00:00:00"/>
    <b v="1"/>
    <b v="0"/>
    <x v="0"/>
    <x v="1"/>
  </r>
  <r>
    <s v="TXN_2611065"/>
    <s v="CUST_04"/>
    <s v="Milk Products"/>
    <x v="5"/>
    <n v="26"/>
    <n v="8"/>
    <n v="208"/>
    <x v="2"/>
    <x v="1"/>
    <d v="2023-05-02T00:00:00"/>
    <m/>
    <b v="0"/>
    <x v="0"/>
    <x v="1"/>
  </r>
  <r>
    <s v="TXN_9896056"/>
    <s v="CUST_10"/>
    <s v="Electric household essentials"/>
    <x v="5"/>
    <n v="33.5"/>
    <n v="3"/>
    <n v="100.5"/>
    <x v="0"/>
    <x v="0"/>
    <s v="12/29/2022"/>
    <b v="0"/>
    <b v="0"/>
    <x v="0"/>
    <x v="1"/>
  </r>
  <r>
    <s v="TXN_2749184"/>
    <s v="CUST_24"/>
    <s v="Food"/>
    <x v="9"/>
    <n v="33.5"/>
    <n v="5"/>
    <n v="167.5"/>
    <x v="1"/>
    <x v="0"/>
    <s v="4/18/2023"/>
    <m/>
    <b v="0"/>
    <x v="0"/>
    <x v="1"/>
  </r>
  <r>
    <s v="TXN_3135312"/>
    <s v="CUST_11"/>
    <s v="Electric household essentials"/>
    <x v="8"/>
    <n v="27.5"/>
    <n v="10"/>
    <n v="275"/>
    <x v="2"/>
    <x v="0"/>
    <s v="9/27/2022"/>
    <b v="0"/>
    <b v="0"/>
    <x v="0"/>
    <x v="1"/>
  </r>
  <r>
    <s v="TXN_4879766"/>
    <s v="CUST_13"/>
    <s v="Computers and electric accessories"/>
    <x v="5"/>
    <n v="33.5"/>
    <n v="4"/>
    <n v="134"/>
    <x v="0"/>
    <x v="0"/>
    <d v="2023-03-06T00:00:00"/>
    <b v="0"/>
    <b v="0"/>
    <x v="0"/>
    <x v="1"/>
  </r>
  <r>
    <s v="TXN_5822350"/>
    <s v="CUST_16"/>
    <s v="Electric household essentials"/>
    <x v="10"/>
    <n v="38"/>
    <n v="1"/>
    <n v="38"/>
    <x v="2"/>
    <x v="1"/>
    <s v="3/21/2022"/>
    <b v="0"/>
    <b v="0"/>
    <x v="0"/>
    <x v="2"/>
  </r>
  <r>
    <s v="TXN_2755139"/>
    <s v="CUST_21"/>
    <s v="Milk Products"/>
    <x v="6"/>
    <n v="9.5"/>
    <n v="1"/>
    <n v="9.5"/>
    <x v="0"/>
    <x v="0"/>
    <s v="12/19/2023"/>
    <b v="0"/>
    <b v="0"/>
    <x v="0"/>
    <x v="0"/>
  </r>
  <r>
    <s v="TXN_1484334"/>
    <s v="CUST_01"/>
    <s v="Butchers"/>
    <x v="10"/>
    <n v="14"/>
    <n v="3"/>
    <n v="42"/>
    <x v="2"/>
    <x v="0"/>
    <s v="3/19/2023"/>
    <m/>
    <b v="0"/>
    <x v="0"/>
    <x v="0"/>
  </r>
  <r>
    <s v="TXN_3557526"/>
    <s v="CUST_21"/>
    <s v="Computers and electric accessories"/>
    <x v="12"/>
    <n v="27.5"/>
    <n v="9"/>
    <n v="247.5"/>
    <x v="0"/>
    <x v="1"/>
    <s v="12/25/2023"/>
    <m/>
    <b v="0"/>
    <x v="0"/>
    <x v="1"/>
  </r>
  <r>
    <s v="TXN_8960682"/>
    <s v="CUST_25"/>
    <s v="Electric household essentials"/>
    <x v="10"/>
    <n v="5"/>
    <n v="2"/>
    <n v="10"/>
    <x v="2"/>
    <x v="0"/>
    <d v="2023-10-06T00:00:00"/>
    <b v="0"/>
    <b v="0"/>
    <x v="0"/>
    <x v="0"/>
  </r>
  <r>
    <s v="TXN_8973416"/>
    <s v="CUST_13"/>
    <s v="Butchers"/>
    <x v="5"/>
    <n v="23"/>
    <n v="6"/>
    <n v="138"/>
    <x v="2"/>
    <x v="1"/>
    <d v="2022-10-09T00:00:00"/>
    <b v="1"/>
    <b v="0"/>
    <x v="0"/>
    <x v="0"/>
  </r>
  <r>
    <s v="TXN_5487046"/>
    <s v="CUST_22"/>
    <s v="Computers and electric accessories"/>
    <x v="9"/>
    <n v="32"/>
    <n v="9"/>
    <n v="288"/>
    <x v="2"/>
    <x v="0"/>
    <d v="2022-06-06T00:00:00"/>
    <b v="0"/>
    <b v="0"/>
    <x v="0"/>
    <x v="1"/>
  </r>
  <r>
    <s v="TXN_5945222"/>
    <s v="CUST_04"/>
    <s v="Butchers"/>
    <x v="12"/>
    <n v="33.5"/>
    <n v="5"/>
    <n v="167.5"/>
    <x v="0"/>
    <x v="1"/>
    <d v="2024-11-08T00:00:00"/>
    <b v="0"/>
    <b v="0"/>
    <x v="0"/>
    <x v="1"/>
  </r>
  <r>
    <s v="TXN_1334483"/>
    <s v="CUST_17"/>
    <s v="Computers and electric accessories"/>
    <x v="10"/>
    <n v="20"/>
    <n v="3"/>
    <n v="60"/>
    <x v="2"/>
    <x v="0"/>
    <s v="7/17/2023"/>
    <b v="0"/>
    <b v="0"/>
    <x v="0"/>
    <x v="0"/>
  </r>
  <r>
    <s v="TXN_8777313"/>
    <s v="CUST_20"/>
    <s v="Food"/>
    <x v="9"/>
    <n v="41"/>
    <n v="3"/>
    <n v="123"/>
    <x v="0"/>
    <x v="1"/>
    <s v="4/20/2023"/>
    <b v="0"/>
    <b v="0"/>
    <x v="0"/>
    <x v="2"/>
  </r>
  <r>
    <s v="TXN_2690179"/>
    <s v="CUST_12"/>
    <s v="Electric household essentials"/>
    <x v="12"/>
    <n v="21.5"/>
    <n v="2"/>
    <n v="43"/>
    <x v="0"/>
    <x v="1"/>
    <d v="2023-09-09T00:00:00"/>
    <b v="1"/>
    <b v="0"/>
    <x v="0"/>
    <x v="0"/>
  </r>
  <r>
    <s v="TXN_2795990"/>
    <s v="CUST_03"/>
    <s v="Electric household essentials"/>
    <x v="9"/>
    <n v="36.5"/>
    <n v="2"/>
    <n v="73"/>
    <x v="0"/>
    <x v="1"/>
    <s v="7/15/2024"/>
    <b v="0"/>
    <b v="0"/>
    <x v="0"/>
    <x v="2"/>
  </r>
  <r>
    <s v="TXN_1402493"/>
    <s v="CUST_24"/>
    <s v="Furniture"/>
    <x v="12"/>
    <n v="39.5"/>
    <n v="5"/>
    <n v="197.5"/>
    <x v="1"/>
    <x v="1"/>
    <s v="11/27/2024"/>
    <m/>
    <b v="0"/>
    <x v="0"/>
    <x v="2"/>
  </r>
  <r>
    <s v="TXN_2438514"/>
    <s v="CUST_15"/>
    <s v="Patisserie"/>
    <x v="6"/>
    <n v="23"/>
    <n v="3"/>
    <n v="69"/>
    <x v="0"/>
    <x v="0"/>
    <s v="2/13/2024"/>
    <b v="0"/>
    <b v="0"/>
    <x v="0"/>
    <x v="0"/>
  </r>
  <r>
    <s v="TXN_6229786"/>
    <s v="CUST_04"/>
    <s v="Food"/>
    <x v="10"/>
    <n v="30.5"/>
    <n v="2"/>
    <n v="61"/>
    <x v="2"/>
    <x v="1"/>
    <s v="1/20/2022"/>
    <b v="0"/>
    <b v="0"/>
    <x v="0"/>
    <x v="1"/>
  </r>
  <r>
    <s v="TXN_6490151"/>
    <s v="CUST_08"/>
    <s v="Computers and electric accessories"/>
    <x v="10"/>
    <n v="35"/>
    <n v="4"/>
    <n v="140"/>
    <x v="0"/>
    <x v="1"/>
    <s v="10/17/2024"/>
    <b v="0"/>
    <b v="0"/>
    <x v="0"/>
    <x v="2"/>
  </r>
  <r>
    <s v="TXN_9331694"/>
    <s v="CUST_13"/>
    <s v="Computers and electric accessories"/>
    <x v="8"/>
    <n v="6.5"/>
    <n v="8"/>
    <n v="52"/>
    <x v="1"/>
    <x v="0"/>
    <d v="2023-09-12T00:00:00"/>
    <b v="0"/>
    <b v="0"/>
    <x v="0"/>
    <x v="0"/>
  </r>
  <r>
    <s v="TXN_8547389"/>
    <s v="CUST_11"/>
    <s v="Electric household essentials"/>
    <x v="4"/>
    <n v="29"/>
    <n v="4"/>
    <n v="116"/>
    <x v="2"/>
    <x v="0"/>
    <s v="5/26/2022"/>
    <b v="0"/>
    <b v="0"/>
    <x v="0"/>
    <x v="1"/>
  </r>
  <r>
    <s v="TXN_7324151"/>
    <s v="CUST_16"/>
    <s v="Computers and electric accessories"/>
    <x v="6"/>
    <n v="35"/>
    <n v="2"/>
    <n v="70"/>
    <x v="1"/>
    <x v="1"/>
    <s v="8/30/2024"/>
    <b v="0"/>
    <b v="0"/>
    <x v="0"/>
    <x v="2"/>
  </r>
  <r>
    <s v="TXN_1588276"/>
    <s v="CUST_20"/>
    <s v="Butchers"/>
    <x v="12"/>
    <n v="15.5"/>
    <n v="3"/>
    <n v="46.5"/>
    <x v="0"/>
    <x v="1"/>
    <d v="2022-08-10T00:00:00"/>
    <m/>
    <b v="0"/>
    <x v="0"/>
    <x v="0"/>
  </r>
  <r>
    <s v="TXN_6590263"/>
    <s v="CUST_14"/>
    <s v="Patisserie"/>
    <x v="12"/>
    <n v="5"/>
    <n v="7"/>
    <n v="35"/>
    <x v="0"/>
    <x v="0"/>
    <d v="2024-11-12T00:00:00"/>
    <b v="0"/>
    <b v="0"/>
    <x v="0"/>
    <x v="0"/>
  </r>
  <r>
    <s v="TXN_2251132"/>
    <s v="CUST_20"/>
    <s v="Food"/>
    <x v="10"/>
    <n v="12.5"/>
    <n v="4"/>
    <n v="50"/>
    <x v="2"/>
    <x v="0"/>
    <s v="7/15/2024"/>
    <b v="0"/>
    <b v="0"/>
    <x v="0"/>
    <x v="0"/>
  </r>
  <r>
    <s v="TXN_1048755"/>
    <s v="CUST_05"/>
    <s v="Butchers"/>
    <x v="12"/>
    <n v="41"/>
    <n v="3"/>
    <n v="123"/>
    <x v="1"/>
    <x v="0"/>
    <d v="2024-06-10T00:00:00"/>
    <b v="1"/>
    <b v="0"/>
    <x v="0"/>
    <x v="2"/>
  </r>
  <r>
    <s v="TXN_2530704"/>
    <s v="CUST_25"/>
    <s v="Butchers"/>
    <x v="9"/>
    <n v="38"/>
    <n v="2"/>
    <n v="76"/>
    <x v="0"/>
    <x v="1"/>
    <d v="2024-04-01T00:00:00"/>
    <b v="0"/>
    <b v="0"/>
    <x v="0"/>
    <x v="2"/>
  </r>
  <r>
    <s v="TXN_7804271"/>
    <s v="CUST_22"/>
    <s v="Patisserie"/>
    <x v="4"/>
    <n v="5"/>
    <n v="8"/>
    <n v="40"/>
    <x v="2"/>
    <x v="0"/>
    <d v="2023-10-02T00:00:00"/>
    <m/>
    <b v="0"/>
    <x v="0"/>
    <x v="0"/>
  </r>
  <r>
    <s v="TXN_6926974"/>
    <s v="CUST_22"/>
    <s v="Computers and electric accessories"/>
    <x v="6"/>
    <n v="9.5"/>
    <n v="5"/>
    <n v="47.5"/>
    <x v="1"/>
    <x v="0"/>
    <s v="10/16/2024"/>
    <m/>
    <b v="0"/>
    <x v="0"/>
    <x v="0"/>
  </r>
  <r>
    <s v="TXN_1722933"/>
    <s v="CUST_20"/>
    <s v="Computers and electric accessories"/>
    <x v="9"/>
    <n v="35"/>
    <n v="7"/>
    <n v="245"/>
    <x v="2"/>
    <x v="0"/>
    <d v="2023-12-08T00:00:00"/>
    <b v="0"/>
    <b v="0"/>
    <x v="0"/>
    <x v="2"/>
  </r>
  <r>
    <s v="TXN_5846723"/>
    <s v="CUST_05"/>
    <s v="Patisserie"/>
    <x v="9"/>
    <n v="18.5"/>
    <n v="3"/>
    <n v="55.5"/>
    <x v="2"/>
    <x v="1"/>
    <s v="1/28/2024"/>
    <b v="0"/>
    <b v="0"/>
    <x v="0"/>
    <x v="0"/>
  </r>
  <r>
    <s v="TXN_8759839"/>
    <s v="CUST_10"/>
    <s v="Milk Products"/>
    <x v="4"/>
    <n v="6.5"/>
    <n v="1"/>
    <n v="6.5"/>
    <x v="0"/>
    <x v="0"/>
    <d v="2024-03-06T00:00:00"/>
    <b v="0"/>
    <b v="0"/>
    <x v="0"/>
    <x v="0"/>
  </r>
  <r>
    <s v="TXN_1747548"/>
    <s v="CUST_04"/>
    <s v="Beverages"/>
    <x v="12"/>
    <n v="41"/>
    <n v="2"/>
    <n v="82"/>
    <x v="0"/>
    <x v="0"/>
    <d v="2024-06-11T00:00:00"/>
    <m/>
    <b v="0"/>
    <x v="0"/>
    <x v="2"/>
  </r>
  <r>
    <s v="TXN_2202698"/>
    <s v="CUST_16"/>
    <s v="Milk Products"/>
    <x v="12"/>
    <n v="15.5"/>
    <n v="6"/>
    <n v="93"/>
    <x v="0"/>
    <x v="1"/>
    <s v="8/18/2022"/>
    <b v="0"/>
    <b v="0"/>
    <x v="0"/>
    <x v="0"/>
  </r>
  <r>
    <s v="TXN_7296074"/>
    <s v="CUST_23"/>
    <s v="Computers and electric accessories"/>
    <x v="4"/>
    <n v="30.5"/>
    <n v="5"/>
    <n v="152.5"/>
    <x v="1"/>
    <x v="0"/>
    <d v="2022-09-10T00:00:00"/>
    <b v="1"/>
    <b v="0"/>
    <x v="0"/>
    <x v="1"/>
  </r>
  <r>
    <s v="TXN_8786633"/>
    <s v="CUST_16"/>
    <s v="Patisserie"/>
    <x v="5"/>
    <n v="39.5"/>
    <n v="3"/>
    <n v="118.5"/>
    <x v="1"/>
    <x v="0"/>
    <s v="9/14/2022"/>
    <m/>
    <b v="0"/>
    <x v="0"/>
    <x v="2"/>
  </r>
  <r>
    <s v="TXN_4174281"/>
    <s v="CUST_19"/>
    <s v="Butchers"/>
    <x v="11"/>
    <n v="5"/>
    <n v="7"/>
    <n v="35"/>
    <x v="0"/>
    <x v="1"/>
    <s v="4/18/2023"/>
    <m/>
    <b v="0"/>
    <x v="0"/>
    <x v="0"/>
  </r>
  <r>
    <s v="TXN_3866783"/>
    <s v="CUST_12"/>
    <s v="Food"/>
    <x v="5"/>
    <n v="41"/>
    <n v="3"/>
    <n v="123"/>
    <x v="1"/>
    <x v="1"/>
    <s v="3/27/2022"/>
    <b v="0"/>
    <b v="0"/>
    <x v="0"/>
    <x v="2"/>
  </r>
  <r>
    <s v="TXN_9048177"/>
    <s v="CUST_08"/>
    <s v="Patisserie"/>
    <x v="12"/>
    <n v="12.5"/>
    <n v="2"/>
    <n v="25"/>
    <x v="0"/>
    <x v="1"/>
    <d v="2023-03-11T00:00:00"/>
    <b v="0"/>
    <b v="0"/>
    <x v="0"/>
    <x v="0"/>
  </r>
  <r>
    <s v="TXN_8842339"/>
    <s v="CUST_22"/>
    <s v="Beverages"/>
    <x v="4"/>
    <n v="21.5"/>
    <n v="8"/>
    <n v="172"/>
    <x v="0"/>
    <x v="1"/>
    <s v="5/14/2023"/>
    <b v="0"/>
    <b v="0"/>
    <x v="0"/>
    <x v="0"/>
  </r>
  <r>
    <s v="TXN_6288602"/>
    <s v="CUST_12"/>
    <s v="Butchers"/>
    <x v="9"/>
    <n v="35"/>
    <n v="8"/>
    <n v="280"/>
    <x v="1"/>
    <x v="1"/>
    <s v="11/28/2023"/>
    <b v="0"/>
    <b v="0"/>
    <x v="0"/>
    <x v="2"/>
  </r>
  <r>
    <s v="TXN_3805794"/>
    <s v="CUST_05"/>
    <s v="Butchers"/>
    <x v="6"/>
    <n v="38"/>
    <n v="5"/>
    <n v="190"/>
    <x v="1"/>
    <x v="0"/>
    <s v="8/29/2024"/>
    <m/>
    <b v="0"/>
    <x v="0"/>
    <x v="2"/>
  </r>
  <r>
    <s v="TXN_5488509"/>
    <s v="CUST_21"/>
    <s v="Butchers"/>
    <x v="4"/>
    <n v="27.5"/>
    <n v="7"/>
    <n v="192.5"/>
    <x v="0"/>
    <x v="0"/>
    <d v="2022-12-02T00:00:00"/>
    <b v="0"/>
    <b v="0"/>
    <x v="0"/>
    <x v="1"/>
  </r>
  <r>
    <s v="TXN_4878744"/>
    <s v="CUST_02"/>
    <s v="Electric household essentials"/>
    <x v="9"/>
    <n v="18.5"/>
    <n v="4"/>
    <n v="74"/>
    <x v="0"/>
    <x v="0"/>
    <s v="6/26/2022"/>
    <m/>
    <b v="0"/>
    <x v="0"/>
    <x v="0"/>
  </r>
  <r>
    <s v="TXN_3303186"/>
    <s v="CUST_06"/>
    <s v="Food"/>
    <x v="9"/>
    <n v="11"/>
    <n v="6"/>
    <n v="66"/>
    <x v="1"/>
    <x v="1"/>
    <d v="2022-10-06T00:00:00"/>
    <m/>
    <b v="0"/>
    <x v="0"/>
    <x v="0"/>
  </r>
  <r>
    <s v="TXN_8503614"/>
    <s v="CUST_12"/>
    <s v="Electric household essentials"/>
    <x v="7"/>
    <n v="35"/>
    <n v="3"/>
    <n v="105"/>
    <x v="1"/>
    <x v="0"/>
    <s v="12/14/2022"/>
    <b v="0"/>
    <b v="0"/>
    <x v="0"/>
    <x v="2"/>
  </r>
  <r>
    <s v="TXN_7214951"/>
    <s v="CUST_04"/>
    <s v="Beverages"/>
    <x v="10"/>
    <n v="41"/>
    <n v="5"/>
    <n v="205"/>
    <x v="2"/>
    <x v="1"/>
    <d v="2023-12-10T00:00:00"/>
    <m/>
    <b v="0"/>
    <x v="0"/>
    <x v="2"/>
  </r>
  <r>
    <s v="TXN_7423171"/>
    <s v="CUST_21"/>
    <s v="Food"/>
    <x v="7"/>
    <n v="21.5"/>
    <n v="7"/>
    <n v="150.5"/>
    <x v="0"/>
    <x v="1"/>
    <s v="9/13/2024"/>
    <b v="0"/>
    <b v="0"/>
    <x v="0"/>
    <x v="0"/>
  </r>
  <r>
    <s v="TXN_1583510"/>
    <s v="CUST_11"/>
    <s v="Computers and electric accessories"/>
    <x v="6"/>
    <n v="11"/>
    <n v="10"/>
    <n v="110"/>
    <x v="2"/>
    <x v="0"/>
    <s v="1/29/2024"/>
    <m/>
    <b v="0"/>
    <x v="0"/>
    <x v="0"/>
  </r>
  <r>
    <s v="TXN_7443511"/>
    <s v="CUST_08"/>
    <s v="Milk Products"/>
    <x v="10"/>
    <n v="5"/>
    <n v="2"/>
    <n v="10"/>
    <x v="0"/>
    <x v="0"/>
    <d v="2023-07-05T00:00:00"/>
    <b v="1"/>
    <b v="0"/>
    <x v="0"/>
    <x v="0"/>
  </r>
  <r>
    <s v="TXN_4394615"/>
    <s v="CUST_20"/>
    <s v="Milk Products"/>
    <x v="11"/>
    <n v="9.5"/>
    <n v="2"/>
    <n v="19"/>
    <x v="1"/>
    <x v="1"/>
    <s v="10/20/2024"/>
    <b v="0"/>
    <b v="0"/>
    <x v="0"/>
    <x v="0"/>
  </r>
  <r>
    <s v="TXN_3755291"/>
    <s v="CUST_09"/>
    <s v="Milk Products"/>
    <x v="6"/>
    <n v="6.5"/>
    <n v="1"/>
    <n v="6.5"/>
    <x v="2"/>
    <x v="0"/>
    <s v="11/15/2022"/>
    <m/>
    <b v="0"/>
    <x v="0"/>
    <x v="0"/>
  </r>
  <r>
    <s v="TXN_3557501"/>
    <s v="CUST_08"/>
    <s v="Food"/>
    <x v="12"/>
    <n v="8"/>
    <n v="6"/>
    <n v="48"/>
    <x v="1"/>
    <x v="1"/>
    <d v="2024-10-01T00:00:00"/>
    <b v="0"/>
    <b v="0"/>
    <x v="0"/>
    <x v="0"/>
  </r>
  <r>
    <s v="TXN_9827245"/>
    <s v="CUST_02"/>
    <s v="Electric household essentials"/>
    <x v="5"/>
    <n v="35"/>
    <n v="5"/>
    <n v="175"/>
    <x v="0"/>
    <x v="0"/>
    <d v="2022-12-04T00:00:00"/>
    <b v="0"/>
    <b v="0"/>
    <x v="0"/>
    <x v="2"/>
  </r>
  <r>
    <s v="TXN_3187729"/>
    <s v="CUST_18"/>
    <s v="Electric household essentials"/>
    <x v="5"/>
    <n v="41"/>
    <n v="9"/>
    <n v="369"/>
    <x v="0"/>
    <x v="1"/>
    <s v="6/25/2024"/>
    <m/>
    <b v="0"/>
    <x v="0"/>
    <x v="2"/>
  </r>
  <r>
    <s v="TXN_9667841"/>
    <s v="CUST_11"/>
    <s v="Patisserie"/>
    <x v="5"/>
    <n v="36.5"/>
    <n v="7"/>
    <n v="255.5"/>
    <x v="0"/>
    <x v="0"/>
    <d v="2024-05-06T00:00:00"/>
    <m/>
    <b v="0"/>
    <x v="0"/>
    <x v="2"/>
  </r>
  <r>
    <s v="TXN_3433195"/>
    <s v="CUST_24"/>
    <s v="Electric household essentials"/>
    <x v="6"/>
    <n v="21.5"/>
    <n v="7"/>
    <n v="150.5"/>
    <x v="2"/>
    <x v="0"/>
    <s v="3/30/2023"/>
    <m/>
    <b v="0"/>
    <x v="0"/>
    <x v="0"/>
  </r>
  <r>
    <s v="TXN_4731761"/>
    <s v="CUST_17"/>
    <s v="Beverages"/>
    <x v="10"/>
    <n v="12.5"/>
    <n v="3"/>
    <n v="37.5"/>
    <x v="1"/>
    <x v="1"/>
    <s v="8/19/2024"/>
    <b v="0"/>
    <b v="0"/>
    <x v="0"/>
    <x v="0"/>
  </r>
  <r>
    <s v="TXN_6339738"/>
    <s v="CUST_25"/>
    <s v="Butchers"/>
    <x v="10"/>
    <n v="21.5"/>
    <n v="7"/>
    <n v="150.5"/>
    <x v="1"/>
    <x v="1"/>
    <d v="2022-01-04T00:00:00"/>
    <m/>
    <b v="0"/>
    <x v="0"/>
    <x v="0"/>
  </r>
  <r>
    <s v="TXN_8912717"/>
    <s v="CUST_05"/>
    <s v="Milk Products"/>
    <x v="4"/>
    <n v="6.5"/>
    <n v="10"/>
    <n v="65"/>
    <x v="1"/>
    <x v="1"/>
    <s v="7/28/2022"/>
    <m/>
    <b v="0"/>
    <x v="0"/>
    <x v="0"/>
  </r>
  <r>
    <s v="TXN_9840878"/>
    <s v="CUST_07"/>
    <s v="Computers and electric accessories"/>
    <x v="10"/>
    <n v="17"/>
    <n v="10"/>
    <n v="170"/>
    <x v="0"/>
    <x v="1"/>
    <s v="10/17/2023"/>
    <m/>
    <b v="0"/>
    <x v="0"/>
    <x v="0"/>
  </r>
  <r>
    <s v="TXN_8186195"/>
    <s v="CUST_20"/>
    <s v="Beverages"/>
    <x v="11"/>
    <n v="15.5"/>
    <n v="5"/>
    <n v="77.5"/>
    <x v="0"/>
    <x v="0"/>
    <s v="2/19/2023"/>
    <b v="0"/>
    <b v="0"/>
    <x v="0"/>
    <x v="0"/>
  </r>
  <r>
    <s v="TXN_1536301"/>
    <s v="CUST_14"/>
    <s v="Food"/>
    <x v="5"/>
    <n v="18.5"/>
    <n v="7"/>
    <n v="129.5"/>
    <x v="2"/>
    <x v="1"/>
    <d v="2023-12-06T00:00:00"/>
    <b v="0"/>
    <b v="0"/>
    <x v="0"/>
    <x v="0"/>
  </r>
  <r>
    <s v="TXN_6001621"/>
    <s v="CUST_15"/>
    <s v="Furniture"/>
    <x v="12"/>
    <n v="15.5"/>
    <n v="1"/>
    <n v="15.5"/>
    <x v="1"/>
    <x v="1"/>
    <d v="2022-09-10T00:00:00"/>
    <m/>
    <b v="0"/>
    <x v="0"/>
    <x v="0"/>
  </r>
  <r>
    <s v="TXN_2077907"/>
    <s v="CUST_16"/>
    <s v="Furniture"/>
    <x v="11"/>
    <n v="24.5"/>
    <n v="1"/>
    <n v="24.5"/>
    <x v="0"/>
    <x v="1"/>
    <s v="6/20/2022"/>
    <m/>
    <b v="0"/>
    <x v="0"/>
    <x v="0"/>
  </r>
  <r>
    <s v="TXN_6429566"/>
    <s v="CUST_01"/>
    <s v="Milk Products"/>
    <x v="7"/>
    <n v="39.5"/>
    <n v="3"/>
    <n v="118.5"/>
    <x v="2"/>
    <x v="0"/>
    <d v="2023-08-03T00:00:00"/>
    <m/>
    <b v="0"/>
    <x v="0"/>
    <x v="2"/>
  </r>
  <r>
    <s v="TXN_4476611"/>
    <s v="CUST_13"/>
    <s v="Food"/>
    <x v="6"/>
    <n v="24.5"/>
    <n v="6"/>
    <n v="147"/>
    <x v="1"/>
    <x v="0"/>
    <d v="2023-01-03T00:00:00"/>
    <b v="1"/>
    <b v="0"/>
    <x v="0"/>
    <x v="0"/>
  </r>
  <r>
    <s v="TXN_4547031"/>
    <s v="CUST_18"/>
    <s v="Patisserie"/>
    <x v="8"/>
    <n v="12.5"/>
    <n v="3"/>
    <n v="37.5"/>
    <x v="2"/>
    <x v="1"/>
    <s v="3/27/2024"/>
    <b v="0"/>
    <b v="0"/>
    <x v="0"/>
    <x v="0"/>
  </r>
  <r>
    <s v="TXN_6923046"/>
    <s v="CUST_11"/>
    <s v="Butchers"/>
    <x v="5"/>
    <n v="21.5"/>
    <n v="1"/>
    <n v="21.5"/>
    <x v="1"/>
    <x v="0"/>
    <s v="8/22/2023"/>
    <b v="0"/>
    <b v="0"/>
    <x v="0"/>
    <x v="0"/>
  </r>
  <r>
    <s v="TXN_5461118"/>
    <s v="CUST_03"/>
    <s v="Butchers"/>
    <x v="6"/>
    <n v="15.5"/>
    <n v="3"/>
    <n v="46.5"/>
    <x v="1"/>
    <x v="1"/>
    <s v="8/20/2024"/>
    <b v="0"/>
    <b v="0"/>
    <x v="0"/>
    <x v="0"/>
  </r>
  <r>
    <s v="TXN_8574406"/>
    <s v="CUST_16"/>
    <s v="Furniture"/>
    <x v="7"/>
    <n v="15.5"/>
    <n v="5"/>
    <n v="77.5"/>
    <x v="1"/>
    <x v="1"/>
    <s v="5/23/2024"/>
    <b v="0"/>
    <b v="0"/>
    <x v="0"/>
    <x v="0"/>
  </r>
  <r>
    <s v="TXN_4459526"/>
    <s v="CUST_11"/>
    <s v="Milk Products"/>
    <x v="4"/>
    <n v="8"/>
    <n v="9"/>
    <n v="72"/>
    <x v="2"/>
    <x v="1"/>
    <d v="2022-03-01T00:00:00"/>
    <b v="0"/>
    <b v="0"/>
    <x v="0"/>
    <x v="0"/>
  </r>
  <r>
    <s v="TXN_9538956"/>
    <s v="CUST_10"/>
    <s v="Computers and electric accessories"/>
    <x v="9"/>
    <n v="11"/>
    <n v="5"/>
    <n v="55"/>
    <x v="2"/>
    <x v="1"/>
    <s v="2/22/2022"/>
    <m/>
    <b v="0"/>
    <x v="0"/>
    <x v="0"/>
  </r>
  <r>
    <s v="TXN_7160998"/>
    <s v="CUST_13"/>
    <s v="Computers and electric accessories"/>
    <x v="9"/>
    <n v="5"/>
    <n v="7"/>
    <n v="35"/>
    <x v="1"/>
    <x v="0"/>
    <d v="2022-08-02T00:00:00"/>
    <b v="1"/>
    <b v="0"/>
    <x v="0"/>
    <x v="0"/>
  </r>
  <r>
    <s v="TXN_6906173"/>
    <s v="CUST_02"/>
    <s v="Patisserie"/>
    <x v="8"/>
    <n v="14"/>
    <n v="7"/>
    <n v="98"/>
    <x v="2"/>
    <x v="0"/>
    <d v="2024-04-11T00:00:00"/>
    <m/>
    <b v="0"/>
    <x v="0"/>
    <x v="0"/>
  </r>
  <r>
    <s v="TXN_3317964"/>
    <s v="CUST_25"/>
    <s v="Milk Products"/>
    <x v="5"/>
    <n v="15.5"/>
    <n v="2"/>
    <n v="31"/>
    <x v="0"/>
    <x v="1"/>
    <d v="2024-01-07T00:00:00"/>
    <m/>
    <b v="0"/>
    <x v="0"/>
    <x v="0"/>
  </r>
  <r>
    <s v="TXN_4654673"/>
    <s v="CUST_20"/>
    <s v="Butchers"/>
    <x v="12"/>
    <n v="38"/>
    <n v="1"/>
    <n v="38"/>
    <x v="2"/>
    <x v="1"/>
    <s v="9/14/2024"/>
    <m/>
    <b v="0"/>
    <x v="0"/>
    <x v="2"/>
  </r>
  <r>
    <s v="TXN_9684703"/>
    <s v="CUST_15"/>
    <s v="Computers and electric accessories"/>
    <x v="12"/>
    <n v="12.5"/>
    <n v="1"/>
    <n v="12.5"/>
    <x v="0"/>
    <x v="1"/>
    <d v="2024-05-02T00:00:00"/>
    <b v="0"/>
    <b v="0"/>
    <x v="0"/>
    <x v="0"/>
  </r>
  <r>
    <s v="TXN_7571093"/>
    <s v="CUST_17"/>
    <s v="Milk Products"/>
    <x v="4"/>
    <n v="11"/>
    <n v="9"/>
    <n v="99"/>
    <x v="0"/>
    <x v="1"/>
    <s v="11/18/2022"/>
    <m/>
    <b v="0"/>
    <x v="0"/>
    <x v="0"/>
  </r>
  <r>
    <s v="TXN_1130823"/>
    <s v="CUST_13"/>
    <s v="Computers and electric accessories"/>
    <x v="5"/>
    <n v="17"/>
    <n v="10"/>
    <n v="170"/>
    <x v="1"/>
    <x v="1"/>
    <d v="2024-02-11T00:00:00"/>
    <m/>
    <b v="0"/>
    <x v="0"/>
    <x v="0"/>
  </r>
  <r>
    <s v="TXN_2655759"/>
    <s v="CUST_23"/>
    <s v="Furniture"/>
    <x v="9"/>
    <n v="41"/>
    <n v="3"/>
    <n v="123"/>
    <x v="2"/>
    <x v="1"/>
    <s v="9/18/2024"/>
    <m/>
    <b v="0"/>
    <x v="0"/>
    <x v="2"/>
  </r>
  <r>
    <s v="TXN_8878269"/>
    <s v="CUST_05"/>
    <s v="Computers and electric accessories"/>
    <x v="12"/>
    <n v="32"/>
    <n v="4"/>
    <n v="128"/>
    <x v="2"/>
    <x v="1"/>
    <d v="2024-08-12T00:00:00"/>
    <b v="0"/>
    <b v="0"/>
    <x v="0"/>
    <x v="1"/>
  </r>
  <r>
    <s v="TXN_5481124"/>
    <s v="CUST_03"/>
    <s v="Furniture"/>
    <x v="5"/>
    <n v="26"/>
    <n v="9"/>
    <n v="234"/>
    <x v="2"/>
    <x v="1"/>
    <s v="1/14/2022"/>
    <b v="0"/>
    <b v="0"/>
    <x v="0"/>
    <x v="1"/>
  </r>
  <r>
    <s v="TXN_3191741"/>
    <s v="CUST_01"/>
    <s v="Patisserie"/>
    <x v="12"/>
    <n v="26"/>
    <n v="9"/>
    <n v="234"/>
    <x v="0"/>
    <x v="1"/>
    <s v="11/17/2024"/>
    <b v="0"/>
    <b v="0"/>
    <x v="0"/>
    <x v="1"/>
  </r>
  <r>
    <s v="TXN_8404227"/>
    <s v="CUST_03"/>
    <s v="Beverages"/>
    <x v="12"/>
    <n v="6.5"/>
    <n v="9"/>
    <n v="58.5"/>
    <x v="0"/>
    <x v="0"/>
    <s v="12/29/2023"/>
    <m/>
    <b v="0"/>
    <x v="0"/>
    <x v="0"/>
  </r>
  <r>
    <s v="TXN_2374689"/>
    <s v="CUST_19"/>
    <s v="Beverages"/>
    <x v="8"/>
    <n v="6.5"/>
    <n v="1"/>
    <n v="6.5"/>
    <x v="2"/>
    <x v="1"/>
    <s v="5/21/2024"/>
    <m/>
    <b v="0"/>
    <x v="0"/>
    <x v="0"/>
  </r>
  <r>
    <s v="TXN_9469962"/>
    <s v="CUST_08"/>
    <s v="Beverages"/>
    <x v="4"/>
    <n v="8"/>
    <n v="6"/>
    <n v="48"/>
    <x v="2"/>
    <x v="0"/>
    <s v="2/26/2024"/>
    <b v="0"/>
    <b v="0"/>
    <x v="0"/>
    <x v="0"/>
  </r>
  <r>
    <s v="TXN_5072173"/>
    <s v="CUST_23"/>
    <s v="Computers and electric accessories"/>
    <x v="7"/>
    <n v="18.5"/>
    <n v="7"/>
    <n v="129.5"/>
    <x v="0"/>
    <x v="0"/>
    <s v="9/21/2024"/>
    <b v="0"/>
    <b v="0"/>
    <x v="0"/>
    <x v="0"/>
  </r>
  <r>
    <s v="TXN_4944574"/>
    <s v="CUST_19"/>
    <s v="Patisserie"/>
    <x v="11"/>
    <n v="39.5"/>
    <n v="6"/>
    <n v="237"/>
    <x v="0"/>
    <x v="0"/>
    <d v="2024-11-04T00:00:00"/>
    <m/>
    <b v="0"/>
    <x v="0"/>
    <x v="2"/>
  </r>
  <r>
    <s v="TXN_5293933"/>
    <s v="CUST_20"/>
    <s v="Computers and electric accessories"/>
    <x v="11"/>
    <n v="11"/>
    <n v="5"/>
    <n v="55"/>
    <x v="2"/>
    <x v="1"/>
    <d v="2022-06-12T00:00:00"/>
    <b v="0"/>
    <b v="0"/>
    <x v="0"/>
    <x v="0"/>
  </r>
  <r>
    <s v="TXN_7801513"/>
    <s v="CUST_01"/>
    <s v="Electric household essentials"/>
    <x v="11"/>
    <n v="11"/>
    <n v="6"/>
    <n v="66"/>
    <x v="0"/>
    <x v="1"/>
    <s v="9/21/2022"/>
    <b v="0"/>
    <b v="0"/>
    <x v="0"/>
    <x v="0"/>
  </r>
  <r>
    <s v="TXN_8685820"/>
    <s v="CUST_05"/>
    <s v="Beverages"/>
    <x v="12"/>
    <n v="5"/>
    <n v="10"/>
    <n v="50"/>
    <x v="0"/>
    <x v="0"/>
    <s v="3/23/2023"/>
    <m/>
    <b v="0"/>
    <x v="0"/>
    <x v="0"/>
  </r>
  <r>
    <s v="TXN_1729525"/>
    <s v="CUST_08"/>
    <s v="Beverages"/>
    <x v="4"/>
    <n v="38"/>
    <n v="7"/>
    <n v="266"/>
    <x v="0"/>
    <x v="1"/>
    <d v="2022-10-11T00:00:00"/>
    <b v="0"/>
    <b v="0"/>
    <x v="0"/>
    <x v="2"/>
  </r>
  <r>
    <s v="TXN_2593560"/>
    <s v="CUST_07"/>
    <s v="Butchers"/>
    <x v="12"/>
    <n v="23"/>
    <n v="6"/>
    <n v="138"/>
    <x v="2"/>
    <x v="1"/>
    <d v="2023-07-07T00:00:00"/>
    <b v="1"/>
    <b v="0"/>
    <x v="0"/>
    <x v="0"/>
  </r>
  <r>
    <s v="TXN_6961502"/>
    <s v="CUST_13"/>
    <s v="Butchers"/>
    <x v="10"/>
    <n v="29"/>
    <n v="1"/>
    <n v="29"/>
    <x v="0"/>
    <x v="1"/>
    <d v="2022-09-11T00:00:00"/>
    <b v="0"/>
    <b v="0"/>
    <x v="0"/>
    <x v="1"/>
  </r>
  <r>
    <s v="TXN_8817119"/>
    <s v="CUST_22"/>
    <s v="Butchers"/>
    <x v="11"/>
    <n v="33.5"/>
    <n v="5"/>
    <n v="167.5"/>
    <x v="1"/>
    <x v="0"/>
    <s v="4/27/2024"/>
    <b v="0"/>
    <b v="0"/>
    <x v="0"/>
    <x v="1"/>
  </r>
  <r>
    <s v="TXN_4160315"/>
    <s v="CUST_05"/>
    <s v="Milk Products"/>
    <x v="11"/>
    <n v="32"/>
    <n v="9"/>
    <n v="288"/>
    <x v="0"/>
    <x v="0"/>
    <s v="8/20/2022"/>
    <m/>
    <b v="0"/>
    <x v="0"/>
    <x v="1"/>
  </r>
  <r>
    <s v="TXN_5438923"/>
    <s v="CUST_03"/>
    <s v="Milk Products"/>
    <x v="9"/>
    <n v="39.5"/>
    <n v="4"/>
    <n v="158"/>
    <x v="1"/>
    <x v="0"/>
    <s v="7/21/2023"/>
    <b v="0"/>
    <b v="0"/>
    <x v="0"/>
    <x v="2"/>
  </r>
  <r>
    <s v="TXN_5911306"/>
    <s v="CUST_21"/>
    <s v="Milk Products"/>
    <x v="9"/>
    <n v="33.5"/>
    <n v="8"/>
    <n v="268"/>
    <x v="0"/>
    <x v="0"/>
    <d v="2022-10-10T00:00:00"/>
    <b v="1"/>
    <b v="0"/>
    <x v="0"/>
    <x v="1"/>
  </r>
  <r>
    <s v="TXN_8714034"/>
    <s v="CUST_09"/>
    <s v="Electric household essentials"/>
    <x v="5"/>
    <n v="12.5"/>
    <n v="4"/>
    <n v="50"/>
    <x v="0"/>
    <x v="1"/>
    <d v="2023-07-01T00:00:00"/>
    <b v="1"/>
    <b v="0"/>
    <x v="0"/>
    <x v="0"/>
  </r>
  <r>
    <s v="TXN_5960646"/>
    <s v="CUST_21"/>
    <s v="Beverages"/>
    <x v="5"/>
    <n v="8"/>
    <n v="8"/>
    <n v="64"/>
    <x v="0"/>
    <x v="0"/>
    <s v="3/18/2024"/>
    <b v="0"/>
    <b v="0"/>
    <x v="0"/>
    <x v="0"/>
  </r>
  <r>
    <s v="TXN_1839621"/>
    <s v="CUST_01"/>
    <s v="Butchers"/>
    <x v="7"/>
    <n v="15.5"/>
    <n v="1"/>
    <n v="15.5"/>
    <x v="0"/>
    <x v="0"/>
    <d v="2024-07-04T00:00:00"/>
    <b v="1"/>
    <b v="0"/>
    <x v="0"/>
    <x v="0"/>
  </r>
  <r>
    <s v="TXN_5944361"/>
    <s v="CUST_01"/>
    <s v="Milk Products"/>
    <x v="5"/>
    <n v="32"/>
    <n v="4"/>
    <n v="128"/>
    <x v="1"/>
    <x v="1"/>
    <d v="2022-10-10T00:00:00"/>
    <b v="0"/>
    <b v="0"/>
    <x v="0"/>
    <x v="1"/>
  </r>
  <r>
    <s v="TXN_7159417"/>
    <s v="CUST_11"/>
    <s v="Food"/>
    <x v="10"/>
    <n v="23"/>
    <n v="5"/>
    <n v="115"/>
    <x v="2"/>
    <x v="1"/>
    <s v="3/14/2024"/>
    <b v="0"/>
    <b v="0"/>
    <x v="0"/>
    <x v="0"/>
  </r>
  <r>
    <s v="TXN_3759367"/>
    <s v="CUST_18"/>
    <s v="Beverages"/>
    <x v="11"/>
    <n v="32"/>
    <n v="1"/>
    <n v="32"/>
    <x v="0"/>
    <x v="1"/>
    <d v="2023-07-05T00:00:00"/>
    <b v="1"/>
    <b v="0"/>
    <x v="0"/>
    <x v="1"/>
  </r>
  <r>
    <s v="TXN_1676564"/>
    <s v="CUST_12"/>
    <s v="Furniture"/>
    <x v="9"/>
    <n v="6.5"/>
    <n v="6"/>
    <n v="39"/>
    <x v="0"/>
    <x v="0"/>
    <s v="6/18/2024"/>
    <b v="0"/>
    <b v="0"/>
    <x v="0"/>
    <x v="0"/>
  </r>
  <r>
    <s v="TXN_7493896"/>
    <s v="CUST_11"/>
    <s v="Electric household essentials"/>
    <x v="5"/>
    <n v="20"/>
    <n v="4"/>
    <n v="80"/>
    <x v="2"/>
    <x v="1"/>
    <d v="2024-07-12T00:00:00"/>
    <b v="1"/>
    <b v="0"/>
    <x v="0"/>
    <x v="0"/>
  </r>
  <r>
    <s v="TXN_9279646"/>
    <s v="CUST_08"/>
    <s v="Milk Products"/>
    <x v="6"/>
    <n v="17"/>
    <n v="7"/>
    <n v="119"/>
    <x v="1"/>
    <x v="0"/>
    <d v="2022-11-10T00:00:00"/>
    <m/>
    <b v="0"/>
    <x v="0"/>
    <x v="0"/>
  </r>
  <r>
    <s v="TXN_2080115"/>
    <s v="CUST_18"/>
    <s v="Butchers"/>
    <x v="11"/>
    <n v="39.5"/>
    <n v="7"/>
    <n v="276.5"/>
    <x v="2"/>
    <x v="0"/>
    <d v="2024-05-01T00:00:00"/>
    <b v="1"/>
    <b v="0"/>
    <x v="0"/>
    <x v="2"/>
  </r>
  <r>
    <s v="TXN_2634868"/>
    <s v="CUST_13"/>
    <s v="Patisserie"/>
    <x v="8"/>
    <n v="20"/>
    <n v="4"/>
    <n v="80"/>
    <x v="2"/>
    <x v="1"/>
    <s v="6/26/2024"/>
    <b v="0"/>
    <b v="0"/>
    <x v="0"/>
    <x v="0"/>
  </r>
  <r>
    <s v="TXN_9937190"/>
    <s v="CUST_23"/>
    <s v="Food"/>
    <x v="10"/>
    <n v="23"/>
    <n v="3"/>
    <n v="69"/>
    <x v="0"/>
    <x v="1"/>
    <s v="7/14/2023"/>
    <b v="0"/>
    <b v="0"/>
    <x v="0"/>
    <x v="0"/>
  </r>
  <r>
    <s v="TXN_9222292"/>
    <s v="CUST_15"/>
    <s v="Furniture"/>
    <x v="5"/>
    <n v="39.5"/>
    <n v="9"/>
    <n v="355.5"/>
    <x v="0"/>
    <x v="1"/>
    <s v="12/25/2024"/>
    <b v="0"/>
    <b v="0"/>
    <x v="0"/>
    <x v="2"/>
  </r>
  <r>
    <s v="TXN_3841425"/>
    <s v="CUST_24"/>
    <s v="Milk Products"/>
    <x v="9"/>
    <n v="15.5"/>
    <n v="6"/>
    <n v="93"/>
    <x v="1"/>
    <x v="1"/>
    <d v="2024-01-10T00:00:00"/>
    <m/>
    <b v="0"/>
    <x v="0"/>
    <x v="0"/>
  </r>
  <r>
    <s v="TXN_3427896"/>
    <s v="CUST_15"/>
    <s v="Patisserie"/>
    <x v="4"/>
    <n v="21.5"/>
    <n v="3"/>
    <n v="64.5"/>
    <x v="2"/>
    <x v="1"/>
    <s v="12/26/2024"/>
    <m/>
    <b v="0"/>
    <x v="0"/>
    <x v="0"/>
  </r>
  <r>
    <s v="TXN_7315614"/>
    <s v="CUST_22"/>
    <s v="Furniture"/>
    <x v="6"/>
    <n v="26"/>
    <n v="10"/>
    <n v="260"/>
    <x v="0"/>
    <x v="1"/>
    <d v="2024-10-02T00:00:00"/>
    <m/>
    <b v="0"/>
    <x v="0"/>
    <x v="1"/>
  </r>
  <r>
    <s v="TXN_5441868"/>
    <s v="CUST_05"/>
    <s v="Furniture"/>
    <x v="8"/>
    <n v="11"/>
    <n v="5"/>
    <n v="55"/>
    <x v="0"/>
    <x v="0"/>
    <d v="2022-07-03T00:00:00"/>
    <m/>
    <b v="0"/>
    <x v="0"/>
    <x v="0"/>
  </r>
  <r>
    <s v="TXN_5275517"/>
    <s v="CUST_10"/>
    <s v="Food"/>
    <x v="5"/>
    <n v="29"/>
    <n v="8"/>
    <n v="232"/>
    <x v="2"/>
    <x v="0"/>
    <s v="11/29/2024"/>
    <b v="0"/>
    <b v="0"/>
    <x v="0"/>
    <x v="1"/>
  </r>
  <r>
    <s v="TXN_6260961"/>
    <s v="CUST_16"/>
    <s v="Electric household essentials"/>
    <x v="4"/>
    <n v="41"/>
    <n v="1"/>
    <n v="41"/>
    <x v="2"/>
    <x v="1"/>
    <s v="10/25/2024"/>
    <m/>
    <b v="0"/>
    <x v="0"/>
    <x v="2"/>
  </r>
  <r>
    <s v="TXN_2139409"/>
    <s v="CUST_23"/>
    <s v="Food"/>
    <x v="8"/>
    <n v="23"/>
    <n v="9"/>
    <n v="207"/>
    <x v="0"/>
    <x v="0"/>
    <s v="5/21/2022"/>
    <m/>
    <b v="0"/>
    <x v="0"/>
    <x v="0"/>
  </r>
  <r>
    <s v="TXN_5343433"/>
    <s v="CUST_20"/>
    <s v="Computers and electric accessories"/>
    <x v="8"/>
    <n v="32"/>
    <n v="7"/>
    <n v="224"/>
    <x v="1"/>
    <x v="0"/>
    <d v="2022-11-12T00:00:00"/>
    <b v="1"/>
    <b v="0"/>
    <x v="0"/>
    <x v="1"/>
  </r>
  <r>
    <s v="TXN_7425133"/>
    <s v="CUST_03"/>
    <s v="Patisserie"/>
    <x v="6"/>
    <n v="33.5"/>
    <n v="10"/>
    <n v="335"/>
    <x v="2"/>
    <x v="1"/>
    <s v="5/21/2024"/>
    <b v="0"/>
    <b v="0"/>
    <x v="0"/>
    <x v="1"/>
  </r>
  <r>
    <s v="TXN_8793391"/>
    <s v="CUST_16"/>
    <s v="Beverages"/>
    <x v="10"/>
    <n v="6.5"/>
    <n v="8"/>
    <n v="52"/>
    <x v="1"/>
    <x v="0"/>
    <s v="4/14/2024"/>
    <b v="0"/>
    <b v="0"/>
    <x v="0"/>
    <x v="0"/>
  </r>
  <r>
    <s v="TXN_5940844"/>
    <s v="CUST_23"/>
    <s v="Beverages"/>
    <x v="6"/>
    <n v="32"/>
    <n v="2"/>
    <n v="64"/>
    <x v="1"/>
    <x v="1"/>
    <d v="2023-12-09T00:00:00"/>
    <m/>
    <b v="0"/>
    <x v="0"/>
    <x v="1"/>
  </r>
  <r>
    <s v="TXN_3357122"/>
    <s v="CUST_05"/>
    <s v="Butchers"/>
    <x v="12"/>
    <n v="36.5"/>
    <n v="2"/>
    <n v="73"/>
    <x v="1"/>
    <x v="0"/>
    <s v="2/19/2024"/>
    <b v="0"/>
    <b v="0"/>
    <x v="0"/>
    <x v="2"/>
  </r>
  <r>
    <s v="TXN_8846811"/>
    <s v="CUST_21"/>
    <s v="Butchers"/>
    <x v="4"/>
    <n v="35"/>
    <n v="1"/>
    <n v="35"/>
    <x v="0"/>
    <x v="0"/>
    <d v="2022-06-09T00:00:00"/>
    <b v="0"/>
    <b v="0"/>
    <x v="0"/>
    <x v="2"/>
  </r>
  <r>
    <s v="TXN_6576457"/>
    <s v="CUST_19"/>
    <s v="Patisserie"/>
    <x v="11"/>
    <n v="17"/>
    <n v="10"/>
    <n v="170"/>
    <x v="1"/>
    <x v="1"/>
    <s v="3/17/2022"/>
    <b v="0"/>
    <b v="0"/>
    <x v="0"/>
    <x v="0"/>
  </r>
  <r>
    <s v="TXN_4581475"/>
    <s v="CUST_17"/>
    <s v="Computers and electric accessories"/>
    <x v="11"/>
    <n v="20"/>
    <n v="6"/>
    <n v="120"/>
    <x v="1"/>
    <x v="1"/>
    <s v="6/16/2023"/>
    <b v="0"/>
    <b v="0"/>
    <x v="0"/>
    <x v="0"/>
  </r>
  <r>
    <s v="TXN_6582130"/>
    <s v="CUST_03"/>
    <s v="Electric household essentials"/>
    <x v="9"/>
    <n v="23"/>
    <n v="9"/>
    <n v="207"/>
    <x v="0"/>
    <x v="0"/>
    <s v="12/25/2024"/>
    <b v="0"/>
    <b v="0"/>
    <x v="0"/>
    <x v="0"/>
  </r>
  <r>
    <s v="TXN_2910621"/>
    <s v="CUST_02"/>
    <s v="Beverages"/>
    <x v="9"/>
    <n v="18.5"/>
    <n v="10"/>
    <n v="185"/>
    <x v="0"/>
    <x v="1"/>
    <d v="2023-05-03T00:00:00"/>
    <b v="0"/>
    <b v="0"/>
    <x v="0"/>
    <x v="0"/>
  </r>
  <r>
    <s v="TXN_9627402"/>
    <s v="CUST_04"/>
    <s v="Butchers"/>
    <x v="4"/>
    <n v="8"/>
    <n v="10"/>
    <n v="80"/>
    <x v="2"/>
    <x v="0"/>
    <s v="2/23/2022"/>
    <b v="0"/>
    <b v="0"/>
    <x v="0"/>
    <x v="0"/>
  </r>
  <r>
    <s v="TXN_6676210"/>
    <s v="CUST_02"/>
    <s v="Computers and electric accessories"/>
    <x v="12"/>
    <n v="29"/>
    <n v="8"/>
    <n v="232"/>
    <x v="0"/>
    <x v="0"/>
    <s v="11/27/2023"/>
    <m/>
    <b v="0"/>
    <x v="0"/>
    <x v="1"/>
  </r>
  <r>
    <s v="TXN_5351535"/>
    <s v="CUST_23"/>
    <s v="Patisserie"/>
    <x v="10"/>
    <n v="41"/>
    <n v="8"/>
    <n v="328"/>
    <x v="2"/>
    <x v="1"/>
    <s v="10/15/2024"/>
    <b v="0"/>
    <b v="0"/>
    <x v="0"/>
    <x v="2"/>
  </r>
  <r>
    <s v="TXN_4435938"/>
    <s v="CUST_05"/>
    <s v="Electric household essentials"/>
    <x v="11"/>
    <n v="23"/>
    <n v="4"/>
    <n v="92"/>
    <x v="1"/>
    <x v="1"/>
    <d v="2023-06-08T00:00:00"/>
    <b v="0"/>
    <b v="0"/>
    <x v="0"/>
    <x v="0"/>
  </r>
  <r>
    <s v="TXN_4181012"/>
    <s v="CUST_21"/>
    <s v="Patisserie"/>
    <x v="9"/>
    <n v="15.5"/>
    <n v="6"/>
    <n v="93"/>
    <x v="2"/>
    <x v="0"/>
    <s v="6/24/2024"/>
    <m/>
    <b v="0"/>
    <x v="0"/>
    <x v="0"/>
  </r>
  <r>
    <s v="TXN_1475212"/>
    <s v="CUST_11"/>
    <s v="Beverages"/>
    <x v="12"/>
    <n v="20"/>
    <n v="6"/>
    <n v="120"/>
    <x v="2"/>
    <x v="0"/>
    <s v="10/14/2023"/>
    <m/>
    <b v="0"/>
    <x v="0"/>
    <x v="0"/>
  </r>
  <r>
    <s v="TXN_9755626"/>
    <s v="CUST_25"/>
    <s v="Patisserie"/>
    <x v="4"/>
    <n v="20"/>
    <n v="3"/>
    <n v="60"/>
    <x v="0"/>
    <x v="0"/>
    <s v="1/31/2023"/>
    <b v="0"/>
    <b v="0"/>
    <x v="0"/>
    <x v="0"/>
  </r>
  <r>
    <s v="TXN_3842430"/>
    <s v="CUST_19"/>
    <s v="Food"/>
    <x v="10"/>
    <n v="30.5"/>
    <n v="8"/>
    <n v="244"/>
    <x v="1"/>
    <x v="1"/>
    <d v="2023-04-03T00:00:00"/>
    <b v="1"/>
    <b v="0"/>
    <x v="0"/>
    <x v="1"/>
  </r>
  <r>
    <s v="TXN_1102128"/>
    <s v="CUST_22"/>
    <s v="Furniture"/>
    <x v="4"/>
    <n v="11"/>
    <n v="3"/>
    <n v="33"/>
    <x v="1"/>
    <x v="1"/>
    <d v="2024-01-05T00:00:00"/>
    <b v="0"/>
    <b v="0"/>
    <x v="0"/>
    <x v="0"/>
  </r>
  <r>
    <s v="TXN_5823559"/>
    <s v="CUST_14"/>
    <s v="Furniture"/>
    <x v="4"/>
    <n v="39.5"/>
    <n v="1"/>
    <n v="39.5"/>
    <x v="0"/>
    <x v="1"/>
    <s v="1/17/2024"/>
    <b v="0"/>
    <b v="0"/>
    <x v="0"/>
    <x v="2"/>
  </r>
  <r>
    <s v="TXN_6830801"/>
    <s v="CUST_14"/>
    <s v="Milk Products"/>
    <x v="6"/>
    <n v="12.5"/>
    <n v="3"/>
    <n v="37.5"/>
    <x v="1"/>
    <x v="1"/>
    <s v="5/20/2022"/>
    <b v="0"/>
    <b v="0"/>
    <x v="0"/>
    <x v="0"/>
  </r>
  <r>
    <s v="TXN_7480229"/>
    <s v="CUST_06"/>
    <s v="Furniture"/>
    <x v="8"/>
    <n v="39.5"/>
    <n v="6"/>
    <n v="237"/>
    <x v="1"/>
    <x v="1"/>
    <s v="1/22/2022"/>
    <b v="0"/>
    <b v="0"/>
    <x v="0"/>
    <x v="2"/>
  </r>
  <r>
    <s v="TXN_9970141"/>
    <s v="CUST_10"/>
    <s v="Electric household essentials"/>
    <x v="7"/>
    <n v="5"/>
    <n v="3"/>
    <n v="15"/>
    <x v="2"/>
    <x v="1"/>
    <d v="2023-03-07T00:00:00"/>
    <b v="0"/>
    <b v="0"/>
    <x v="0"/>
    <x v="0"/>
  </r>
  <r>
    <s v="TXN_1841098"/>
    <s v="CUST_11"/>
    <s v="Food"/>
    <x v="8"/>
    <n v="33.5"/>
    <n v="2"/>
    <n v="67"/>
    <x v="2"/>
    <x v="1"/>
    <s v="10/22/2023"/>
    <b v="0"/>
    <b v="0"/>
    <x v="0"/>
    <x v="1"/>
  </r>
  <r>
    <s v="TXN_4374445"/>
    <s v="CUST_12"/>
    <s v="Food"/>
    <x v="5"/>
    <n v="41"/>
    <n v="10"/>
    <n v="410"/>
    <x v="0"/>
    <x v="0"/>
    <s v="10/17/2024"/>
    <m/>
    <b v="0"/>
    <x v="0"/>
    <x v="2"/>
  </r>
  <r>
    <s v="TXN_9041908"/>
    <s v="CUST_22"/>
    <s v="Electric household essentials"/>
    <x v="10"/>
    <n v="41"/>
    <n v="8"/>
    <n v="328"/>
    <x v="2"/>
    <x v="0"/>
    <s v="6/22/2022"/>
    <m/>
    <b v="0"/>
    <x v="0"/>
    <x v="2"/>
  </r>
  <r>
    <s v="TXN_6035994"/>
    <s v="CUST_15"/>
    <s v="Beverages"/>
    <x v="6"/>
    <n v="12.5"/>
    <n v="8"/>
    <n v="100"/>
    <x v="1"/>
    <x v="1"/>
    <s v="10/30/2024"/>
    <m/>
    <b v="0"/>
    <x v="0"/>
    <x v="0"/>
  </r>
  <r>
    <s v="TXN_3456177"/>
    <s v="CUST_01"/>
    <s v="Butchers"/>
    <x v="7"/>
    <n v="23"/>
    <n v="3"/>
    <n v="69"/>
    <x v="1"/>
    <x v="0"/>
    <s v="6/23/2023"/>
    <b v="0"/>
    <b v="0"/>
    <x v="0"/>
    <x v="0"/>
  </r>
  <r>
    <s v="TXN_9583800"/>
    <s v="CUST_17"/>
    <s v="Electric household essentials"/>
    <x v="11"/>
    <n v="21.5"/>
    <n v="2"/>
    <n v="43"/>
    <x v="2"/>
    <x v="0"/>
    <s v="9/18/2023"/>
    <m/>
    <b v="0"/>
    <x v="0"/>
    <x v="0"/>
  </r>
  <r>
    <s v="TXN_8870473"/>
    <s v="CUST_17"/>
    <s v="Milk Products"/>
    <x v="7"/>
    <n v="23"/>
    <n v="1"/>
    <n v="23"/>
    <x v="1"/>
    <x v="1"/>
    <s v="5/29/2023"/>
    <b v="0"/>
    <b v="0"/>
    <x v="0"/>
    <x v="0"/>
  </r>
  <r>
    <s v="TXN_9933625"/>
    <s v="CUST_25"/>
    <s v="Patisserie"/>
    <x v="9"/>
    <n v="33.5"/>
    <n v="8"/>
    <n v="268"/>
    <x v="2"/>
    <x v="0"/>
    <d v="2022-02-11T00:00:00"/>
    <b v="1"/>
    <b v="0"/>
    <x v="0"/>
    <x v="1"/>
  </r>
  <r>
    <s v="TXN_3668440"/>
    <s v="CUST_21"/>
    <s v="Butchers"/>
    <x v="7"/>
    <n v="8"/>
    <n v="2"/>
    <n v="16"/>
    <x v="2"/>
    <x v="1"/>
    <s v="1/18/2022"/>
    <b v="0"/>
    <b v="0"/>
    <x v="0"/>
    <x v="0"/>
  </r>
  <r>
    <s v="TXN_4255841"/>
    <s v="CUST_21"/>
    <s v="Computers and electric accessories"/>
    <x v="10"/>
    <n v="36.5"/>
    <n v="9"/>
    <n v="328.5"/>
    <x v="1"/>
    <x v="0"/>
    <d v="2023-12-08T00:00:00"/>
    <b v="0"/>
    <b v="0"/>
    <x v="0"/>
    <x v="2"/>
  </r>
  <r>
    <s v="TXN_1795154"/>
    <s v="CUST_23"/>
    <s v="Computers and electric accessories"/>
    <x v="5"/>
    <n v="18.5"/>
    <n v="7"/>
    <n v="129.5"/>
    <x v="0"/>
    <x v="1"/>
    <s v="6/14/2023"/>
    <b v="0"/>
    <b v="0"/>
    <x v="0"/>
    <x v="0"/>
  </r>
  <r>
    <s v="TXN_3717384"/>
    <s v="CUST_01"/>
    <s v="Food"/>
    <x v="4"/>
    <n v="24.5"/>
    <n v="6"/>
    <n v="147"/>
    <x v="2"/>
    <x v="1"/>
    <d v="2023-11-05T00:00:00"/>
    <b v="0"/>
    <b v="0"/>
    <x v="0"/>
    <x v="0"/>
  </r>
  <r>
    <s v="TXN_9616213"/>
    <s v="CUST_23"/>
    <s v="Furniture"/>
    <x v="9"/>
    <n v="39.5"/>
    <n v="3"/>
    <n v="118.5"/>
    <x v="1"/>
    <x v="0"/>
    <d v="2023-11-03T00:00:00"/>
    <b v="1"/>
    <b v="0"/>
    <x v="0"/>
    <x v="2"/>
  </r>
  <r>
    <s v="TXN_7043807"/>
    <s v="CUST_24"/>
    <s v="Furniture"/>
    <x v="12"/>
    <n v="26"/>
    <n v="7"/>
    <n v="182"/>
    <x v="0"/>
    <x v="1"/>
    <d v="2022-07-02T00:00:00"/>
    <m/>
    <b v="0"/>
    <x v="0"/>
    <x v="1"/>
  </r>
  <r>
    <s v="TXN_6728454"/>
    <s v="CUST_08"/>
    <s v="Milk Products"/>
    <x v="12"/>
    <n v="39.5"/>
    <n v="3"/>
    <n v="118.5"/>
    <x v="1"/>
    <x v="0"/>
    <s v="10/17/2023"/>
    <b v="0"/>
    <b v="0"/>
    <x v="0"/>
    <x v="2"/>
  </r>
  <r>
    <s v="TXN_4322217"/>
    <s v="CUST_21"/>
    <s v="Computers and electric accessories"/>
    <x v="6"/>
    <n v="30.5"/>
    <n v="2"/>
    <n v="61"/>
    <x v="0"/>
    <x v="1"/>
    <s v="11/23/2024"/>
    <b v="0"/>
    <b v="0"/>
    <x v="0"/>
    <x v="1"/>
  </r>
  <r>
    <s v="TXN_2151215"/>
    <s v="CUST_02"/>
    <s v="Butchers"/>
    <x v="8"/>
    <n v="11"/>
    <n v="4"/>
    <n v="44"/>
    <x v="2"/>
    <x v="1"/>
    <s v="11/24/2023"/>
    <b v="0"/>
    <b v="0"/>
    <x v="0"/>
    <x v="0"/>
  </r>
  <r>
    <s v="TXN_9987791"/>
    <s v="CUST_08"/>
    <s v="Milk Products"/>
    <x v="8"/>
    <n v="36.5"/>
    <n v="2"/>
    <n v="73"/>
    <x v="0"/>
    <x v="1"/>
    <d v="2022-07-10T00:00:00"/>
    <b v="1"/>
    <b v="0"/>
    <x v="0"/>
    <x v="2"/>
  </r>
  <r>
    <s v="TXN_2540564"/>
    <s v="CUST_24"/>
    <s v="Computers and electric accessories"/>
    <x v="5"/>
    <n v="11"/>
    <n v="1"/>
    <n v="11"/>
    <x v="2"/>
    <x v="0"/>
    <s v="8/18/2023"/>
    <m/>
    <b v="0"/>
    <x v="0"/>
    <x v="0"/>
  </r>
  <r>
    <s v="TXN_9659532"/>
    <s v="CUST_21"/>
    <s v="Furniture"/>
    <x v="12"/>
    <n v="9.5"/>
    <n v="8"/>
    <n v="76"/>
    <x v="2"/>
    <x v="1"/>
    <d v="2023-08-01T00:00:00"/>
    <b v="1"/>
    <b v="0"/>
    <x v="0"/>
    <x v="0"/>
  </r>
  <r>
    <s v="TXN_1783309"/>
    <s v="CUST_08"/>
    <s v="Patisserie"/>
    <x v="9"/>
    <n v="26"/>
    <n v="9"/>
    <n v="234"/>
    <x v="1"/>
    <x v="0"/>
    <s v="1/17/2023"/>
    <m/>
    <b v="0"/>
    <x v="0"/>
    <x v="1"/>
  </r>
  <r>
    <s v="TXN_6596970"/>
    <s v="CUST_25"/>
    <s v="Food"/>
    <x v="12"/>
    <n v="21.5"/>
    <n v="6"/>
    <n v="129"/>
    <x v="1"/>
    <x v="1"/>
    <s v="10/29/2023"/>
    <b v="0"/>
    <b v="0"/>
    <x v="0"/>
    <x v="0"/>
  </r>
  <r>
    <s v="TXN_1742336"/>
    <s v="CUST_08"/>
    <s v="Patisserie"/>
    <x v="8"/>
    <n v="23"/>
    <n v="4"/>
    <n v="92"/>
    <x v="1"/>
    <x v="0"/>
    <d v="2022-08-03T00:00:00"/>
    <b v="0"/>
    <b v="0"/>
    <x v="0"/>
    <x v="0"/>
  </r>
  <r>
    <s v="TXN_7738273"/>
    <s v="CUST_06"/>
    <s v="Beverages"/>
    <x v="4"/>
    <n v="8"/>
    <n v="9"/>
    <n v="72"/>
    <x v="2"/>
    <x v="0"/>
    <s v="3/23/2024"/>
    <m/>
    <b v="0"/>
    <x v="0"/>
    <x v="0"/>
  </r>
  <r>
    <s v="TXN_2232768"/>
    <s v="CUST_02"/>
    <s v="Food"/>
    <x v="7"/>
    <n v="33.5"/>
    <n v="9"/>
    <n v="301.5"/>
    <x v="0"/>
    <x v="1"/>
    <s v="9/29/2024"/>
    <b v="0"/>
    <b v="0"/>
    <x v="0"/>
    <x v="1"/>
  </r>
  <r>
    <s v="TXN_4863238"/>
    <s v="CUST_13"/>
    <s v="Food"/>
    <x v="6"/>
    <n v="20"/>
    <n v="4"/>
    <n v="80"/>
    <x v="1"/>
    <x v="1"/>
    <s v="11/16/2022"/>
    <b v="0"/>
    <b v="0"/>
    <x v="0"/>
    <x v="0"/>
  </r>
  <r>
    <s v="TXN_9409545"/>
    <s v="CUST_05"/>
    <s v="Electric household essentials"/>
    <x v="4"/>
    <n v="36.5"/>
    <n v="7"/>
    <n v="255.5"/>
    <x v="1"/>
    <x v="0"/>
    <s v="2/24/2022"/>
    <m/>
    <b v="0"/>
    <x v="0"/>
    <x v="2"/>
  </r>
  <r>
    <s v="TXN_5426614"/>
    <s v="CUST_19"/>
    <s v="Milk Products"/>
    <x v="11"/>
    <n v="26"/>
    <n v="7"/>
    <n v="182"/>
    <x v="0"/>
    <x v="0"/>
    <d v="2022-06-08T00:00:00"/>
    <m/>
    <b v="0"/>
    <x v="0"/>
    <x v="1"/>
  </r>
  <r>
    <s v="TXN_1712455"/>
    <s v="CUST_25"/>
    <s v="Butchers"/>
    <x v="6"/>
    <n v="11"/>
    <n v="9"/>
    <n v="99"/>
    <x v="1"/>
    <x v="1"/>
    <d v="2024-11-03T00:00:00"/>
    <m/>
    <b v="0"/>
    <x v="0"/>
    <x v="0"/>
  </r>
  <r>
    <s v="TXN_7017598"/>
    <s v="CUST_04"/>
    <s v="Patisserie"/>
    <x v="6"/>
    <n v="9.5"/>
    <n v="6"/>
    <n v="57"/>
    <x v="1"/>
    <x v="0"/>
    <d v="2023-07-06T00:00:00"/>
    <m/>
    <b v="0"/>
    <x v="0"/>
    <x v="0"/>
  </r>
  <r>
    <s v="TXN_7222601"/>
    <s v="CUST_18"/>
    <s v="Electric household essentials"/>
    <x v="10"/>
    <n v="21.5"/>
    <n v="2"/>
    <n v="43"/>
    <x v="2"/>
    <x v="0"/>
    <d v="2022-10-09T00:00:00"/>
    <b v="0"/>
    <b v="0"/>
    <x v="0"/>
    <x v="0"/>
  </r>
  <r>
    <s v="TXN_7864933"/>
    <s v="CUST_24"/>
    <s v="Beverages"/>
    <x v="5"/>
    <n v="29"/>
    <n v="1"/>
    <n v="29"/>
    <x v="2"/>
    <x v="1"/>
    <s v="11/29/2022"/>
    <b v="0"/>
    <b v="0"/>
    <x v="0"/>
    <x v="1"/>
  </r>
  <r>
    <s v="TXN_8228155"/>
    <s v="CUST_17"/>
    <s v="Butchers"/>
    <x v="4"/>
    <n v="23"/>
    <n v="5"/>
    <n v="115"/>
    <x v="1"/>
    <x v="0"/>
    <s v="8/19/2022"/>
    <b v="0"/>
    <b v="0"/>
    <x v="0"/>
    <x v="0"/>
  </r>
  <r>
    <s v="TXN_9564689"/>
    <s v="CUST_18"/>
    <s v="Patisserie"/>
    <x v="10"/>
    <n v="24.5"/>
    <n v="4"/>
    <n v="98"/>
    <x v="2"/>
    <x v="0"/>
    <d v="2022-06-04T00:00:00"/>
    <m/>
    <b v="0"/>
    <x v="0"/>
    <x v="0"/>
  </r>
  <r>
    <s v="TXN_8504691"/>
    <s v="CUST_08"/>
    <s v="Milk Products"/>
    <x v="11"/>
    <n v="5"/>
    <n v="1"/>
    <n v="5"/>
    <x v="1"/>
    <x v="0"/>
    <s v="12/21/2023"/>
    <b v="0"/>
    <b v="0"/>
    <x v="0"/>
    <x v="0"/>
  </r>
  <r>
    <s v="TXN_7177109"/>
    <s v="CUST_05"/>
    <s v="Furniture"/>
    <x v="7"/>
    <n v="24.5"/>
    <n v="4"/>
    <n v="98"/>
    <x v="2"/>
    <x v="1"/>
    <d v="2023-12-06T00:00:00"/>
    <m/>
    <b v="0"/>
    <x v="0"/>
    <x v="0"/>
  </r>
  <r>
    <s v="TXN_9440172"/>
    <s v="CUST_20"/>
    <s v="Beverages"/>
    <x v="9"/>
    <n v="41"/>
    <n v="9"/>
    <n v="369"/>
    <x v="1"/>
    <x v="1"/>
    <s v="10/25/2023"/>
    <b v="0"/>
    <b v="0"/>
    <x v="0"/>
    <x v="2"/>
  </r>
  <r>
    <s v="TXN_7436006"/>
    <s v="CUST_16"/>
    <s v="Patisserie"/>
    <x v="4"/>
    <n v="15.5"/>
    <n v="7"/>
    <n v="108.5"/>
    <x v="2"/>
    <x v="1"/>
    <s v="7/25/2023"/>
    <b v="0"/>
    <b v="0"/>
    <x v="0"/>
    <x v="0"/>
  </r>
  <r>
    <s v="TXN_3673808"/>
    <s v="CUST_23"/>
    <s v="Patisserie"/>
    <x v="5"/>
    <n v="32"/>
    <n v="10"/>
    <n v="320"/>
    <x v="0"/>
    <x v="1"/>
    <s v="11/18/2023"/>
    <m/>
    <b v="0"/>
    <x v="0"/>
    <x v="1"/>
  </r>
  <r>
    <s v="TXN_1386646"/>
    <s v="CUST_24"/>
    <s v="Patisserie"/>
    <x v="8"/>
    <n v="20"/>
    <n v="6"/>
    <n v="120"/>
    <x v="0"/>
    <x v="0"/>
    <d v="2022-07-12T00:00:00"/>
    <m/>
    <b v="0"/>
    <x v="0"/>
    <x v="0"/>
  </r>
  <r>
    <s v="TXN_3840387"/>
    <s v="CUST_19"/>
    <s v="Beverages"/>
    <x v="11"/>
    <n v="14"/>
    <n v="5"/>
    <n v="70"/>
    <x v="2"/>
    <x v="1"/>
    <s v="12/29/2024"/>
    <m/>
    <b v="0"/>
    <x v="0"/>
    <x v="0"/>
  </r>
  <r>
    <s v="TXN_5434897"/>
    <s v="CUST_25"/>
    <s v="Butchers"/>
    <x v="4"/>
    <n v="38"/>
    <n v="1"/>
    <n v="38"/>
    <x v="2"/>
    <x v="1"/>
    <s v="3/21/2023"/>
    <b v="0"/>
    <b v="0"/>
    <x v="0"/>
    <x v="2"/>
  </r>
  <r>
    <s v="TXN_2218629"/>
    <s v="CUST_10"/>
    <s v="Computers and electric accessories"/>
    <x v="4"/>
    <n v="32"/>
    <n v="3"/>
    <n v="96"/>
    <x v="1"/>
    <x v="0"/>
    <s v="3/21/2022"/>
    <b v="0"/>
    <b v="0"/>
    <x v="0"/>
    <x v="1"/>
  </r>
  <r>
    <s v="TXN_9352178"/>
    <s v="CUST_24"/>
    <s v="Patisserie"/>
    <x v="4"/>
    <n v="6.5"/>
    <n v="8"/>
    <n v="52"/>
    <x v="0"/>
    <x v="1"/>
    <s v="3/24/2023"/>
    <m/>
    <b v="0"/>
    <x v="0"/>
    <x v="0"/>
  </r>
  <r>
    <s v="TXN_9978418"/>
    <s v="CUST_10"/>
    <s v="Butchers"/>
    <x v="11"/>
    <n v="24.5"/>
    <n v="5"/>
    <n v="122.5"/>
    <x v="0"/>
    <x v="0"/>
    <s v="2/24/2024"/>
    <b v="0"/>
    <b v="0"/>
    <x v="0"/>
    <x v="0"/>
  </r>
  <r>
    <s v="TXN_6660687"/>
    <s v="CUST_02"/>
    <s v="Furniture"/>
    <x v="9"/>
    <n v="29"/>
    <n v="9"/>
    <n v="261"/>
    <x v="0"/>
    <x v="0"/>
    <s v="12/27/2024"/>
    <b v="0"/>
    <b v="0"/>
    <x v="0"/>
    <x v="1"/>
  </r>
  <r>
    <s v="TXN_8348586"/>
    <s v="CUST_03"/>
    <s v="Electric household essentials"/>
    <x v="12"/>
    <n v="27.5"/>
    <n v="8"/>
    <n v="220"/>
    <x v="1"/>
    <x v="0"/>
    <d v="2022-12-08T00:00:00"/>
    <m/>
    <b v="0"/>
    <x v="0"/>
    <x v="1"/>
  </r>
  <r>
    <s v="TXN_7647224"/>
    <s v="CUST_13"/>
    <s v="Milk Products"/>
    <x v="4"/>
    <n v="5"/>
    <n v="7"/>
    <n v="35"/>
    <x v="1"/>
    <x v="1"/>
    <s v="3/19/2022"/>
    <b v="0"/>
    <b v="0"/>
    <x v="0"/>
    <x v="0"/>
  </r>
  <r>
    <s v="TXN_2676761"/>
    <s v="CUST_15"/>
    <s v="Electric household essentials"/>
    <x v="9"/>
    <n v="29"/>
    <n v="9"/>
    <n v="261"/>
    <x v="0"/>
    <x v="1"/>
    <d v="2024-03-04T00:00:00"/>
    <m/>
    <b v="0"/>
    <x v="0"/>
    <x v="1"/>
  </r>
  <r>
    <s v="TXN_1409260"/>
    <s v="CUST_08"/>
    <s v="Electric household essentials"/>
    <x v="8"/>
    <n v="15.5"/>
    <n v="1"/>
    <n v="15.5"/>
    <x v="1"/>
    <x v="1"/>
    <s v="9/21/2022"/>
    <m/>
    <b v="0"/>
    <x v="0"/>
    <x v="0"/>
  </r>
  <r>
    <s v="TXN_9671345"/>
    <s v="CUST_21"/>
    <s v="Furniture"/>
    <x v="10"/>
    <n v="33.5"/>
    <n v="2"/>
    <n v="67"/>
    <x v="2"/>
    <x v="0"/>
    <s v="9/13/2022"/>
    <b v="0"/>
    <b v="0"/>
    <x v="0"/>
    <x v="1"/>
  </r>
  <r>
    <s v="TXN_6893703"/>
    <s v="CUST_13"/>
    <s v="Patisserie"/>
    <x v="5"/>
    <n v="23"/>
    <n v="1"/>
    <n v="23"/>
    <x v="1"/>
    <x v="1"/>
    <d v="2023-03-09T00:00:00"/>
    <b v="1"/>
    <b v="0"/>
    <x v="0"/>
    <x v="0"/>
  </r>
  <r>
    <s v="TXN_5744111"/>
    <s v="CUST_13"/>
    <s v="Beverages"/>
    <x v="10"/>
    <n v="8"/>
    <n v="3"/>
    <n v="24"/>
    <x v="1"/>
    <x v="0"/>
    <s v="8/21/2024"/>
    <m/>
    <b v="0"/>
    <x v="0"/>
    <x v="0"/>
  </r>
  <r>
    <s v="TXN_5224257"/>
    <s v="CUST_08"/>
    <s v="Butchers"/>
    <x v="10"/>
    <n v="12.5"/>
    <n v="9"/>
    <n v="112.5"/>
    <x v="2"/>
    <x v="0"/>
    <s v="8/13/2022"/>
    <b v="0"/>
    <b v="0"/>
    <x v="0"/>
    <x v="0"/>
  </r>
  <r>
    <s v="TXN_5319794"/>
    <s v="CUST_01"/>
    <s v="Beverages"/>
    <x v="8"/>
    <n v="27.5"/>
    <n v="10"/>
    <n v="275"/>
    <x v="1"/>
    <x v="0"/>
    <d v="2023-01-05T00:00:00"/>
    <m/>
    <b v="0"/>
    <x v="0"/>
    <x v="1"/>
  </r>
  <r>
    <s v="TXN_7326092"/>
    <s v="CUST_01"/>
    <s v="Butchers"/>
    <x v="4"/>
    <n v="38"/>
    <n v="5"/>
    <n v="190"/>
    <x v="1"/>
    <x v="0"/>
    <s v="9/19/2023"/>
    <b v="0"/>
    <b v="0"/>
    <x v="0"/>
    <x v="2"/>
  </r>
  <r>
    <s v="TXN_3342497"/>
    <s v="CUST_18"/>
    <s v="Patisserie"/>
    <x v="11"/>
    <n v="17"/>
    <n v="4"/>
    <n v="68"/>
    <x v="1"/>
    <x v="1"/>
    <d v="2023-03-07T00:00:00"/>
    <m/>
    <b v="0"/>
    <x v="0"/>
    <x v="0"/>
  </r>
  <r>
    <s v="TXN_7235181"/>
    <s v="CUST_22"/>
    <s v="Milk Products"/>
    <x v="9"/>
    <n v="8"/>
    <n v="8"/>
    <n v="64"/>
    <x v="0"/>
    <x v="0"/>
    <s v="12/13/2023"/>
    <m/>
    <b v="0"/>
    <x v="0"/>
    <x v="0"/>
  </r>
  <r>
    <s v="TXN_4657560"/>
    <s v="CUST_06"/>
    <s v="Patisserie"/>
    <x v="11"/>
    <n v="36.5"/>
    <n v="5"/>
    <n v="182.5"/>
    <x v="0"/>
    <x v="1"/>
    <s v="10/18/2022"/>
    <b v="0"/>
    <b v="0"/>
    <x v="0"/>
    <x v="2"/>
  </r>
  <r>
    <s v="TXN_4570770"/>
    <s v="CUST_12"/>
    <s v="Electric household essentials"/>
    <x v="9"/>
    <n v="20"/>
    <n v="3"/>
    <n v="60"/>
    <x v="1"/>
    <x v="1"/>
    <s v="4/29/2023"/>
    <m/>
    <b v="0"/>
    <x v="0"/>
    <x v="0"/>
  </r>
  <r>
    <s v="TXN_6810161"/>
    <s v="CUST_17"/>
    <s v="Food"/>
    <x v="4"/>
    <n v="20"/>
    <n v="3"/>
    <n v="60"/>
    <x v="2"/>
    <x v="0"/>
    <d v="2024-05-05T00:00:00"/>
    <b v="0"/>
    <b v="0"/>
    <x v="0"/>
    <x v="0"/>
  </r>
  <r>
    <s v="TXN_1544024"/>
    <s v="CUST_20"/>
    <s v="Patisserie"/>
    <x v="5"/>
    <n v="29"/>
    <n v="8"/>
    <n v="232"/>
    <x v="2"/>
    <x v="0"/>
    <s v="11/16/2024"/>
    <m/>
    <b v="0"/>
    <x v="0"/>
    <x v="1"/>
  </r>
  <r>
    <s v="TXN_3107156"/>
    <s v="CUST_02"/>
    <s v="Computers and electric accessories"/>
    <x v="4"/>
    <n v="39.5"/>
    <n v="8"/>
    <n v="316"/>
    <x v="2"/>
    <x v="0"/>
    <s v="12/23/2024"/>
    <b v="0"/>
    <b v="0"/>
    <x v="0"/>
    <x v="2"/>
  </r>
  <r>
    <s v="TXN_2540525"/>
    <s v="CUST_03"/>
    <s v="Computers and electric accessories"/>
    <x v="10"/>
    <n v="36.5"/>
    <n v="2"/>
    <n v="73"/>
    <x v="2"/>
    <x v="1"/>
    <s v="4/29/2023"/>
    <b v="0"/>
    <b v="0"/>
    <x v="0"/>
    <x v="2"/>
  </r>
  <r>
    <s v="TXN_7595380"/>
    <s v="CUST_06"/>
    <s v="Furniture"/>
    <x v="6"/>
    <n v="17"/>
    <n v="4"/>
    <n v="68"/>
    <x v="2"/>
    <x v="1"/>
    <s v="11/13/2022"/>
    <b v="0"/>
    <b v="0"/>
    <x v="0"/>
    <x v="0"/>
  </r>
  <r>
    <s v="TXN_9778912"/>
    <s v="CUST_14"/>
    <s v="Electric household essentials"/>
    <x v="4"/>
    <n v="35"/>
    <n v="8"/>
    <n v="280"/>
    <x v="1"/>
    <x v="0"/>
    <s v="8/27/2024"/>
    <b v="0"/>
    <b v="0"/>
    <x v="0"/>
    <x v="2"/>
  </r>
  <r>
    <s v="TXN_2461753"/>
    <s v="CUST_12"/>
    <s v="Computers and electric accessories"/>
    <x v="12"/>
    <n v="32"/>
    <n v="10"/>
    <n v="320"/>
    <x v="2"/>
    <x v="0"/>
    <s v="10/18/2022"/>
    <m/>
    <b v="0"/>
    <x v="0"/>
    <x v="1"/>
  </r>
  <r>
    <s v="TXN_9228328"/>
    <s v="CUST_05"/>
    <s v="Furniture"/>
    <x v="8"/>
    <n v="33.5"/>
    <n v="1"/>
    <n v="33.5"/>
    <x v="0"/>
    <x v="1"/>
    <s v="9/29/2022"/>
    <b v="0"/>
    <b v="0"/>
    <x v="0"/>
    <x v="1"/>
  </r>
  <r>
    <s v="TXN_8148435"/>
    <s v="CUST_24"/>
    <s v="Electric household essentials"/>
    <x v="10"/>
    <n v="38"/>
    <n v="6"/>
    <n v="228"/>
    <x v="1"/>
    <x v="0"/>
    <s v="1/20/2024"/>
    <b v="0"/>
    <b v="0"/>
    <x v="0"/>
    <x v="2"/>
  </r>
  <r>
    <s v="TXN_9014066"/>
    <s v="CUST_01"/>
    <s v="Butchers"/>
    <x v="7"/>
    <n v="21.5"/>
    <n v="3"/>
    <n v="64.5"/>
    <x v="0"/>
    <x v="0"/>
    <s v="11/20/2022"/>
    <m/>
    <b v="0"/>
    <x v="0"/>
    <x v="0"/>
  </r>
  <r>
    <s v="TXN_3864156"/>
    <s v="CUST_10"/>
    <s v="Butchers"/>
    <x v="12"/>
    <n v="21.5"/>
    <n v="8"/>
    <n v="172"/>
    <x v="1"/>
    <x v="1"/>
    <s v="5/25/2023"/>
    <m/>
    <b v="0"/>
    <x v="0"/>
    <x v="0"/>
  </r>
  <r>
    <s v="TXN_1325795"/>
    <s v="CUST_10"/>
    <s v="Computers and electric accessories"/>
    <x v="8"/>
    <n v="24.5"/>
    <n v="6"/>
    <n v="147"/>
    <x v="0"/>
    <x v="1"/>
    <s v="4/29/2022"/>
    <b v="0"/>
    <b v="0"/>
    <x v="0"/>
    <x v="0"/>
  </r>
  <r>
    <s v="TXN_9131959"/>
    <s v="CUST_01"/>
    <s v="Milk Products"/>
    <x v="10"/>
    <n v="6.5"/>
    <n v="1"/>
    <n v="6.5"/>
    <x v="1"/>
    <x v="0"/>
    <d v="2022-11-01T00:00:00"/>
    <b v="0"/>
    <b v="0"/>
    <x v="0"/>
    <x v="0"/>
  </r>
  <r>
    <s v="TXN_2755690"/>
    <s v="CUST_08"/>
    <s v="Computers and electric accessories"/>
    <x v="9"/>
    <n v="21.5"/>
    <n v="9"/>
    <n v="193.5"/>
    <x v="2"/>
    <x v="0"/>
    <d v="2024-04-11T00:00:00"/>
    <b v="0"/>
    <b v="0"/>
    <x v="0"/>
    <x v="0"/>
  </r>
  <r>
    <s v="TXN_5675339"/>
    <s v="CUST_20"/>
    <s v="Electric household essentials"/>
    <x v="9"/>
    <n v="33.5"/>
    <n v="4"/>
    <n v="134"/>
    <x v="1"/>
    <x v="0"/>
    <d v="2024-12-01T00:00:00"/>
    <m/>
    <b v="0"/>
    <x v="0"/>
    <x v="1"/>
  </r>
  <r>
    <s v="TXN_2687566"/>
    <s v="CUST_19"/>
    <s v="Furniture"/>
    <x v="12"/>
    <n v="27.5"/>
    <n v="1"/>
    <n v="27.5"/>
    <x v="1"/>
    <x v="0"/>
    <s v="3/21/2022"/>
    <b v="0"/>
    <b v="0"/>
    <x v="0"/>
    <x v="1"/>
  </r>
  <r>
    <s v="TXN_6070296"/>
    <s v="CUST_19"/>
    <s v="Electric household essentials"/>
    <x v="5"/>
    <n v="11"/>
    <n v="3"/>
    <n v="33"/>
    <x v="2"/>
    <x v="1"/>
    <s v="1/31/2024"/>
    <b v="0"/>
    <b v="0"/>
    <x v="0"/>
    <x v="0"/>
  </r>
  <r>
    <s v="TXN_7927802"/>
    <s v="CUST_20"/>
    <s v="Butchers"/>
    <x v="12"/>
    <n v="36.5"/>
    <n v="8"/>
    <n v="292"/>
    <x v="0"/>
    <x v="0"/>
    <s v="6/30/2023"/>
    <m/>
    <b v="0"/>
    <x v="0"/>
    <x v="2"/>
  </r>
  <r>
    <s v="TXN_1607995"/>
    <s v="CUST_23"/>
    <s v="Electric household essentials"/>
    <x v="10"/>
    <n v="32"/>
    <n v="6"/>
    <n v="192"/>
    <x v="1"/>
    <x v="1"/>
    <s v="12/24/2023"/>
    <m/>
    <b v="0"/>
    <x v="0"/>
    <x v="1"/>
  </r>
  <r>
    <s v="TXN_1694461"/>
    <s v="CUST_17"/>
    <s v="Butchers"/>
    <x v="8"/>
    <n v="21.5"/>
    <n v="10"/>
    <n v="215"/>
    <x v="2"/>
    <x v="0"/>
    <s v="7/13/2022"/>
    <b v="0"/>
    <b v="0"/>
    <x v="0"/>
    <x v="0"/>
  </r>
  <r>
    <s v="TXN_4728272"/>
    <s v="CUST_21"/>
    <s v="Computers and electric accessories"/>
    <x v="10"/>
    <n v="36.5"/>
    <n v="9"/>
    <n v="328.5"/>
    <x v="2"/>
    <x v="0"/>
    <s v="2/27/2023"/>
    <b v="0"/>
    <b v="0"/>
    <x v="0"/>
    <x v="2"/>
  </r>
  <r>
    <s v="TXN_1213835"/>
    <s v="CUST_02"/>
    <s v="Beverages"/>
    <x v="9"/>
    <n v="36.5"/>
    <n v="4"/>
    <n v="146"/>
    <x v="0"/>
    <x v="1"/>
    <d v="2022-06-07T00:00:00"/>
    <b v="0"/>
    <b v="0"/>
    <x v="0"/>
    <x v="2"/>
  </r>
  <r>
    <s v="TXN_7377480"/>
    <s v="CUST_23"/>
    <s v="Food"/>
    <x v="10"/>
    <n v="18.5"/>
    <n v="6"/>
    <n v="111"/>
    <x v="2"/>
    <x v="0"/>
    <s v="3/13/2024"/>
    <m/>
    <b v="0"/>
    <x v="0"/>
    <x v="0"/>
  </r>
  <r>
    <s v="TXN_3331644"/>
    <s v="CUST_20"/>
    <s v="Milk Products"/>
    <x v="9"/>
    <n v="27.5"/>
    <n v="8"/>
    <n v="220"/>
    <x v="0"/>
    <x v="0"/>
    <s v="4/27/2024"/>
    <b v="0"/>
    <b v="0"/>
    <x v="0"/>
    <x v="1"/>
  </r>
  <r>
    <s v="TXN_2605227"/>
    <s v="CUST_12"/>
    <s v="Butchers"/>
    <x v="12"/>
    <n v="14"/>
    <n v="2"/>
    <n v="28"/>
    <x v="2"/>
    <x v="1"/>
    <d v="2024-03-02T00:00:00"/>
    <b v="0"/>
    <b v="0"/>
    <x v="0"/>
    <x v="0"/>
  </r>
  <r>
    <s v="TXN_5387201"/>
    <s v="CUST_14"/>
    <s v="Furniture"/>
    <x v="11"/>
    <n v="6.5"/>
    <n v="6"/>
    <n v="39"/>
    <x v="0"/>
    <x v="0"/>
    <d v="2024-06-11T00:00:00"/>
    <m/>
    <b v="0"/>
    <x v="0"/>
    <x v="0"/>
  </r>
  <r>
    <s v="TXN_2782829"/>
    <s v="CUST_02"/>
    <s v="Electric household essentials"/>
    <x v="6"/>
    <n v="21.5"/>
    <n v="7"/>
    <n v="150.5"/>
    <x v="2"/>
    <x v="1"/>
    <s v="3/14/2024"/>
    <b v="0"/>
    <b v="0"/>
    <x v="0"/>
    <x v="0"/>
  </r>
  <r>
    <s v="TXN_3253186"/>
    <s v="CUST_04"/>
    <s v="Milk Products"/>
    <x v="5"/>
    <n v="38"/>
    <n v="9"/>
    <n v="342"/>
    <x v="2"/>
    <x v="0"/>
    <s v="9/14/2022"/>
    <b v="0"/>
    <b v="0"/>
    <x v="0"/>
    <x v="2"/>
  </r>
  <r>
    <s v="TXN_5905211"/>
    <s v="CUST_18"/>
    <s v="Computers and electric accessories"/>
    <x v="9"/>
    <n v="11"/>
    <n v="3"/>
    <n v="33"/>
    <x v="0"/>
    <x v="0"/>
    <s v="3/21/2024"/>
    <b v="0"/>
    <b v="0"/>
    <x v="0"/>
    <x v="0"/>
  </r>
  <r>
    <s v="TXN_2937307"/>
    <s v="CUST_15"/>
    <s v="Patisserie"/>
    <x v="8"/>
    <n v="24.5"/>
    <n v="6"/>
    <n v="147"/>
    <x v="2"/>
    <x v="1"/>
    <d v="2025-06-01T00:00:00"/>
    <b v="1"/>
    <b v="0"/>
    <x v="0"/>
    <x v="0"/>
  </r>
  <r>
    <s v="TXN_7739969"/>
    <s v="CUST_17"/>
    <s v="Computers and electric accessories"/>
    <x v="10"/>
    <n v="21.5"/>
    <n v="3"/>
    <n v="64.5"/>
    <x v="2"/>
    <x v="0"/>
    <s v="12/14/2023"/>
    <m/>
    <b v="0"/>
    <x v="0"/>
    <x v="0"/>
  </r>
  <r>
    <s v="TXN_2610751"/>
    <s v="CUST_05"/>
    <s v="Butchers"/>
    <x v="12"/>
    <n v="41"/>
    <n v="5"/>
    <n v="205"/>
    <x v="2"/>
    <x v="0"/>
    <s v="5/30/2022"/>
    <m/>
    <b v="0"/>
    <x v="0"/>
    <x v="2"/>
  </r>
  <r>
    <s v="TXN_2712285"/>
    <s v="CUST_22"/>
    <s v="Furniture"/>
    <x v="4"/>
    <n v="6.5"/>
    <n v="5"/>
    <n v="32.5"/>
    <x v="2"/>
    <x v="1"/>
    <s v="6/25/2022"/>
    <b v="0"/>
    <b v="0"/>
    <x v="0"/>
    <x v="0"/>
  </r>
  <r>
    <s v="TXN_5372618"/>
    <s v="CUST_08"/>
    <s v="Electric household essentials"/>
    <x v="12"/>
    <n v="26"/>
    <n v="7"/>
    <n v="182"/>
    <x v="0"/>
    <x v="1"/>
    <s v="5/18/2022"/>
    <m/>
    <b v="0"/>
    <x v="0"/>
    <x v="1"/>
  </r>
  <r>
    <s v="TXN_9725690"/>
    <s v="CUST_21"/>
    <s v="Electric household essentials"/>
    <x v="7"/>
    <n v="15.5"/>
    <n v="6"/>
    <n v="93"/>
    <x v="1"/>
    <x v="0"/>
    <s v="8/30/2022"/>
    <m/>
    <b v="0"/>
    <x v="0"/>
    <x v="0"/>
  </r>
  <r>
    <s v="TXN_1619388"/>
    <s v="CUST_01"/>
    <s v="Computers and electric accessories"/>
    <x v="9"/>
    <n v="26"/>
    <n v="1"/>
    <n v="26"/>
    <x v="0"/>
    <x v="0"/>
    <s v="5/23/2024"/>
    <m/>
    <b v="0"/>
    <x v="0"/>
    <x v="1"/>
  </r>
  <r>
    <s v="TXN_8846502"/>
    <s v="CUST_25"/>
    <s v="Patisserie"/>
    <x v="8"/>
    <n v="17"/>
    <n v="6"/>
    <n v="102"/>
    <x v="2"/>
    <x v="1"/>
    <d v="2024-07-08T00:00:00"/>
    <m/>
    <b v="0"/>
    <x v="0"/>
    <x v="0"/>
  </r>
  <r>
    <s v="TXN_2079721"/>
    <s v="CUST_12"/>
    <s v="Butchers"/>
    <x v="10"/>
    <n v="35"/>
    <n v="1"/>
    <n v="35"/>
    <x v="0"/>
    <x v="1"/>
    <s v="12/14/2023"/>
    <b v="0"/>
    <b v="0"/>
    <x v="0"/>
    <x v="2"/>
  </r>
  <r>
    <s v="TXN_5361643"/>
    <s v="CUST_19"/>
    <s v="Food"/>
    <x v="10"/>
    <n v="23"/>
    <n v="2"/>
    <n v="46"/>
    <x v="0"/>
    <x v="0"/>
    <s v="12/19/2023"/>
    <m/>
    <b v="0"/>
    <x v="0"/>
    <x v="0"/>
  </r>
  <r>
    <s v="TXN_5809744"/>
    <s v="CUST_18"/>
    <s v="Food"/>
    <x v="12"/>
    <n v="17"/>
    <n v="4"/>
    <n v="68"/>
    <x v="2"/>
    <x v="1"/>
    <s v="1/29/2023"/>
    <b v="0"/>
    <b v="0"/>
    <x v="0"/>
    <x v="0"/>
  </r>
  <r>
    <s v="TXN_6567750"/>
    <s v="CUST_05"/>
    <s v="Furniture"/>
    <x v="4"/>
    <n v="24.5"/>
    <n v="4"/>
    <n v="98"/>
    <x v="1"/>
    <x v="1"/>
    <s v="10/26/2022"/>
    <b v="0"/>
    <b v="0"/>
    <x v="0"/>
    <x v="0"/>
  </r>
  <r>
    <s v="TXN_6837444"/>
    <s v="CUST_19"/>
    <s v="Computers and electric accessories"/>
    <x v="9"/>
    <n v="27.5"/>
    <n v="9"/>
    <n v="247.5"/>
    <x v="2"/>
    <x v="0"/>
    <s v="1/13/2023"/>
    <b v="0"/>
    <b v="0"/>
    <x v="0"/>
    <x v="1"/>
  </r>
  <r>
    <s v="TXN_9307798"/>
    <s v="CUST_05"/>
    <s v="Patisserie"/>
    <x v="6"/>
    <n v="9.5"/>
    <n v="2"/>
    <n v="19"/>
    <x v="0"/>
    <x v="1"/>
    <d v="2023-05-07T00:00:00"/>
    <b v="1"/>
    <b v="0"/>
    <x v="0"/>
    <x v="0"/>
  </r>
  <r>
    <s v="TXN_3791514"/>
    <s v="CUST_16"/>
    <s v="Patisserie"/>
    <x v="6"/>
    <n v="9.5"/>
    <n v="2"/>
    <n v="19"/>
    <x v="0"/>
    <x v="0"/>
    <d v="2023-08-01T00:00:00"/>
    <m/>
    <b v="0"/>
    <x v="0"/>
    <x v="0"/>
  </r>
  <r>
    <s v="TXN_8377166"/>
    <s v="CUST_06"/>
    <s v="Butchers"/>
    <x v="8"/>
    <n v="33.5"/>
    <n v="2"/>
    <n v="67"/>
    <x v="1"/>
    <x v="1"/>
    <s v="3/27/2024"/>
    <b v="0"/>
    <b v="0"/>
    <x v="0"/>
    <x v="1"/>
  </r>
  <r>
    <s v="TXN_9027643"/>
    <s v="CUST_01"/>
    <s v="Patisserie"/>
    <x v="12"/>
    <n v="11"/>
    <n v="10"/>
    <n v="110"/>
    <x v="2"/>
    <x v="1"/>
    <s v="10/25/2024"/>
    <b v="0"/>
    <b v="0"/>
    <x v="0"/>
    <x v="0"/>
  </r>
  <r>
    <s v="TXN_5547887"/>
    <s v="CUST_01"/>
    <s v="Patisserie"/>
    <x v="4"/>
    <n v="29"/>
    <n v="10"/>
    <n v="290"/>
    <x v="0"/>
    <x v="0"/>
    <d v="2024-10-09T00:00:00"/>
    <b v="1"/>
    <b v="0"/>
    <x v="0"/>
    <x v="1"/>
  </r>
  <r>
    <s v="TXN_2009395"/>
    <s v="CUST_13"/>
    <s v="Food"/>
    <x v="9"/>
    <n v="20"/>
    <n v="6"/>
    <n v="120"/>
    <x v="0"/>
    <x v="0"/>
    <d v="2024-12-08T00:00:00"/>
    <b v="0"/>
    <b v="0"/>
    <x v="0"/>
    <x v="0"/>
  </r>
  <r>
    <s v="TXN_1354667"/>
    <s v="CUST_08"/>
    <s v="Beverages"/>
    <x v="4"/>
    <n v="15.5"/>
    <n v="5"/>
    <n v="77.5"/>
    <x v="2"/>
    <x v="0"/>
    <d v="2022-04-04T00:00:00"/>
    <m/>
    <b v="0"/>
    <x v="0"/>
    <x v="0"/>
  </r>
  <r>
    <s v="TXN_1597974"/>
    <s v="CUST_08"/>
    <s v="Milk Products"/>
    <x v="7"/>
    <n v="30.5"/>
    <n v="2"/>
    <n v="61"/>
    <x v="2"/>
    <x v="0"/>
    <s v="10/20/2023"/>
    <m/>
    <b v="0"/>
    <x v="0"/>
    <x v="1"/>
  </r>
  <r>
    <s v="TXN_3795673"/>
    <s v="CUST_14"/>
    <s v="Butchers"/>
    <x v="4"/>
    <n v="11"/>
    <n v="7"/>
    <n v="77"/>
    <x v="2"/>
    <x v="1"/>
    <d v="2024-02-02T00:00:00"/>
    <m/>
    <b v="0"/>
    <x v="0"/>
    <x v="0"/>
  </r>
  <r>
    <s v="TXN_7725571"/>
    <s v="CUST_09"/>
    <s v="Furniture"/>
    <x v="6"/>
    <n v="41"/>
    <n v="3"/>
    <n v="123"/>
    <x v="1"/>
    <x v="0"/>
    <s v="6/24/2024"/>
    <b v="0"/>
    <b v="0"/>
    <x v="0"/>
    <x v="2"/>
  </r>
  <r>
    <s v="TXN_5827116"/>
    <s v="CUST_03"/>
    <s v="Computers and electric accessories"/>
    <x v="11"/>
    <n v="20"/>
    <n v="7"/>
    <n v="140"/>
    <x v="2"/>
    <x v="1"/>
    <d v="2023-05-11T00:00:00"/>
    <b v="0"/>
    <b v="0"/>
    <x v="0"/>
    <x v="0"/>
  </r>
  <r>
    <s v="TXN_5314835"/>
    <s v="CUST_22"/>
    <s v="Patisserie"/>
    <x v="5"/>
    <n v="5"/>
    <n v="7"/>
    <n v="35"/>
    <x v="0"/>
    <x v="0"/>
    <d v="2024-05-07T00:00:00"/>
    <b v="1"/>
    <b v="0"/>
    <x v="0"/>
    <x v="0"/>
  </r>
  <r>
    <s v="TXN_4897743"/>
    <s v="CUST_01"/>
    <s v="Food"/>
    <x v="9"/>
    <n v="21.5"/>
    <n v="9"/>
    <n v="193.5"/>
    <x v="1"/>
    <x v="1"/>
    <s v="3/18/2024"/>
    <m/>
    <b v="0"/>
    <x v="0"/>
    <x v="0"/>
  </r>
  <r>
    <s v="TXN_1565398"/>
    <s v="CUST_25"/>
    <s v="Food"/>
    <x v="8"/>
    <n v="18.5"/>
    <n v="8"/>
    <n v="148"/>
    <x v="1"/>
    <x v="1"/>
    <s v="6/15/2022"/>
    <m/>
    <b v="0"/>
    <x v="0"/>
    <x v="0"/>
  </r>
  <r>
    <s v="TXN_5579136"/>
    <s v="CUST_24"/>
    <s v="Beverages"/>
    <x v="12"/>
    <n v="24.5"/>
    <n v="8"/>
    <n v="196"/>
    <x v="0"/>
    <x v="1"/>
    <d v="2023-12-05T00:00:00"/>
    <m/>
    <b v="0"/>
    <x v="0"/>
    <x v="0"/>
  </r>
  <r>
    <s v="TXN_9837294"/>
    <s v="CUST_23"/>
    <s v="Beverages"/>
    <x v="6"/>
    <n v="9.5"/>
    <n v="4"/>
    <n v="38"/>
    <x v="0"/>
    <x v="1"/>
    <s v="6/15/2024"/>
    <m/>
    <b v="0"/>
    <x v="0"/>
    <x v="0"/>
  </r>
  <r>
    <s v="TXN_8172094"/>
    <s v="CUST_21"/>
    <s v="Patisserie"/>
    <x v="6"/>
    <n v="12.5"/>
    <n v="8"/>
    <n v="100"/>
    <x v="0"/>
    <x v="1"/>
    <d v="2022-05-03T00:00:00"/>
    <b v="0"/>
    <b v="0"/>
    <x v="0"/>
    <x v="0"/>
  </r>
  <r>
    <s v="TXN_4882798"/>
    <s v="CUST_23"/>
    <s v="Furniture"/>
    <x v="11"/>
    <n v="12.5"/>
    <n v="10"/>
    <n v="125"/>
    <x v="1"/>
    <x v="1"/>
    <s v="4/22/2022"/>
    <b v="0"/>
    <b v="0"/>
    <x v="0"/>
    <x v="0"/>
  </r>
  <r>
    <s v="TXN_4283900"/>
    <s v="CUST_04"/>
    <s v="Beverages"/>
    <x v="7"/>
    <n v="39.5"/>
    <n v="6"/>
    <n v="237"/>
    <x v="1"/>
    <x v="0"/>
    <s v="6/23/2022"/>
    <b v="0"/>
    <b v="0"/>
    <x v="0"/>
    <x v="2"/>
  </r>
  <r>
    <s v="TXN_1224321"/>
    <s v="CUST_05"/>
    <s v="Computers and electric accessories"/>
    <x v="11"/>
    <n v="12.5"/>
    <n v="1"/>
    <n v="12.5"/>
    <x v="0"/>
    <x v="0"/>
    <s v="8/22/2022"/>
    <b v="0"/>
    <b v="0"/>
    <x v="0"/>
    <x v="0"/>
  </r>
  <r>
    <s v="TXN_5240854"/>
    <s v="CUST_16"/>
    <s v="Computers and electric accessories"/>
    <x v="4"/>
    <n v="35"/>
    <n v="6"/>
    <n v="210"/>
    <x v="2"/>
    <x v="0"/>
    <d v="2024-09-10T00:00:00"/>
    <m/>
    <b v="0"/>
    <x v="0"/>
    <x v="2"/>
  </r>
  <r>
    <s v="TXN_4879732"/>
    <s v="CUST_21"/>
    <s v="Milk Products"/>
    <x v="8"/>
    <n v="30.5"/>
    <n v="3"/>
    <n v="91.5"/>
    <x v="2"/>
    <x v="0"/>
    <s v="2/27/2022"/>
    <b v="0"/>
    <b v="0"/>
    <x v="0"/>
    <x v="1"/>
  </r>
  <r>
    <s v="TXN_1642953"/>
    <s v="CUST_18"/>
    <s v="Electric household essentials"/>
    <x v="11"/>
    <n v="27.5"/>
    <n v="5"/>
    <n v="137.5"/>
    <x v="0"/>
    <x v="1"/>
    <s v="10/30/2022"/>
    <b v="0"/>
    <b v="0"/>
    <x v="0"/>
    <x v="1"/>
  </r>
  <r>
    <s v="TXN_9917843"/>
    <s v="CUST_11"/>
    <s v="Milk Products"/>
    <x v="12"/>
    <n v="9.5"/>
    <n v="10"/>
    <n v="95"/>
    <x v="0"/>
    <x v="0"/>
    <d v="2024-04-03T00:00:00"/>
    <b v="1"/>
    <b v="0"/>
    <x v="0"/>
    <x v="0"/>
  </r>
  <r>
    <s v="TXN_4602333"/>
    <s v="CUST_19"/>
    <s v="Milk Products"/>
    <x v="12"/>
    <n v="24.5"/>
    <n v="10"/>
    <n v="245"/>
    <x v="1"/>
    <x v="0"/>
    <s v="12/30/2024"/>
    <b v="0"/>
    <b v="0"/>
    <x v="0"/>
    <x v="0"/>
  </r>
  <r>
    <s v="TXN_8101203"/>
    <s v="CUST_18"/>
    <s v="Food"/>
    <x v="5"/>
    <n v="11"/>
    <n v="10"/>
    <n v="110"/>
    <x v="1"/>
    <x v="1"/>
    <s v="4/14/2022"/>
    <m/>
    <b v="0"/>
    <x v="0"/>
    <x v="0"/>
  </r>
  <r>
    <s v="TXN_4766175"/>
    <s v="CUST_24"/>
    <s v="Furniture"/>
    <x v="10"/>
    <n v="20"/>
    <n v="3"/>
    <n v="60"/>
    <x v="0"/>
    <x v="0"/>
    <s v="3/25/2024"/>
    <b v="0"/>
    <b v="0"/>
    <x v="0"/>
    <x v="0"/>
  </r>
  <r>
    <s v="TXN_2331955"/>
    <s v="CUST_10"/>
    <s v="Patisserie"/>
    <x v="5"/>
    <n v="33.5"/>
    <n v="4"/>
    <n v="134"/>
    <x v="2"/>
    <x v="0"/>
    <d v="2023-01-04T00:00:00"/>
    <b v="0"/>
    <b v="0"/>
    <x v="0"/>
    <x v="1"/>
  </r>
  <r>
    <s v="TXN_1373649"/>
    <s v="CUST_09"/>
    <s v="Electric household essentials"/>
    <x v="5"/>
    <n v="36.5"/>
    <n v="6"/>
    <n v="219"/>
    <x v="2"/>
    <x v="1"/>
    <d v="2023-07-05T00:00:00"/>
    <b v="0"/>
    <b v="0"/>
    <x v="0"/>
    <x v="2"/>
  </r>
  <r>
    <s v="TXN_8660082"/>
    <s v="CUST_08"/>
    <s v="Beverages"/>
    <x v="6"/>
    <n v="33.5"/>
    <n v="1"/>
    <n v="33.5"/>
    <x v="1"/>
    <x v="1"/>
    <s v="5/18/2024"/>
    <b v="0"/>
    <b v="0"/>
    <x v="0"/>
    <x v="1"/>
  </r>
  <r>
    <s v="TXN_4244094"/>
    <s v="CUST_04"/>
    <s v="Food"/>
    <x v="8"/>
    <n v="12.5"/>
    <n v="2"/>
    <n v="25"/>
    <x v="0"/>
    <x v="1"/>
    <d v="2022-06-09T00:00:00"/>
    <b v="0"/>
    <b v="0"/>
    <x v="0"/>
    <x v="0"/>
  </r>
  <r>
    <s v="TXN_3949704"/>
    <s v="CUST_22"/>
    <s v="Electric household essentials"/>
    <x v="4"/>
    <n v="35"/>
    <n v="9"/>
    <n v="315"/>
    <x v="2"/>
    <x v="0"/>
    <d v="2022-12-06T00:00:00"/>
    <b v="0"/>
    <b v="0"/>
    <x v="0"/>
    <x v="2"/>
  </r>
  <r>
    <s v="TXN_1304201"/>
    <s v="CUST_09"/>
    <s v="Furniture"/>
    <x v="10"/>
    <n v="11"/>
    <n v="4"/>
    <n v="44"/>
    <x v="1"/>
    <x v="1"/>
    <s v="3/14/2024"/>
    <b v="0"/>
    <b v="0"/>
    <x v="0"/>
    <x v="0"/>
  </r>
  <r>
    <s v="TXN_1481263"/>
    <s v="CUST_13"/>
    <s v="Patisserie"/>
    <x v="11"/>
    <n v="17"/>
    <n v="8"/>
    <n v="136"/>
    <x v="0"/>
    <x v="1"/>
    <d v="2022-04-12T00:00:00"/>
    <b v="0"/>
    <b v="0"/>
    <x v="0"/>
    <x v="0"/>
  </r>
  <r>
    <s v="TXN_1830813"/>
    <s v="CUST_15"/>
    <s v="Milk Products"/>
    <x v="6"/>
    <n v="36.5"/>
    <n v="8"/>
    <n v="292"/>
    <x v="1"/>
    <x v="0"/>
    <d v="2023-05-11T00:00:00"/>
    <m/>
    <b v="0"/>
    <x v="0"/>
    <x v="2"/>
  </r>
  <r>
    <s v="TXN_3256316"/>
    <s v="CUST_22"/>
    <s v="Food"/>
    <x v="10"/>
    <n v="29"/>
    <n v="1"/>
    <n v="29"/>
    <x v="2"/>
    <x v="0"/>
    <d v="2024-10-07T00:00:00"/>
    <b v="0"/>
    <b v="0"/>
    <x v="0"/>
    <x v="1"/>
  </r>
  <r>
    <s v="TXN_4412300"/>
    <s v="CUST_05"/>
    <s v="Electric household essentials"/>
    <x v="8"/>
    <n v="38"/>
    <n v="10"/>
    <n v="380"/>
    <x v="0"/>
    <x v="1"/>
    <s v="8/18/2022"/>
    <b v="0"/>
    <b v="0"/>
    <x v="0"/>
    <x v="2"/>
  </r>
  <r>
    <s v="TXN_8350639"/>
    <s v="CUST_21"/>
    <s v="Furniture"/>
    <x v="4"/>
    <n v="6.5"/>
    <n v="9"/>
    <n v="58.5"/>
    <x v="0"/>
    <x v="0"/>
    <d v="2023-12-07T00:00:00"/>
    <b v="0"/>
    <b v="0"/>
    <x v="0"/>
    <x v="0"/>
  </r>
  <r>
    <s v="TXN_6417585"/>
    <s v="CUST_05"/>
    <s v="Electric household essentials"/>
    <x v="5"/>
    <n v="32"/>
    <n v="2"/>
    <n v="64"/>
    <x v="2"/>
    <x v="1"/>
    <d v="2023-08-02T00:00:00"/>
    <b v="1"/>
    <b v="0"/>
    <x v="0"/>
    <x v="1"/>
  </r>
  <r>
    <s v="TXN_8355393"/>
    <s v="CUST_10"/>
    <s v="Milk Products"/>
    <x v="6"/>
    <n v="29"/>
    <n v="5"/>
    <n v="145"/>
    <x v="2"/>
    <x v="1"/>
    <s v="1/24/2022"/>
    <b v="0"/>
    <b v="0"/>
    <x v="0"/>
    <x v="1"/>
  </r>
  <r>
    <s v="TXN_5759876"/>
    <s v="CUST_03"/>
    <s v="Food"/>
    <x v="10"/>
    <n v="41"/>
    <n v="3"/>
    <n v="123"/>
    <x v="2"/>
    <x v="0"/>
    <s v="12/27/2023"/>
    <b v="0"/>
    <b v="0"/>
    <x v="0"/>
    <x v="2"/>
  </r>
  <r>
    <s v="TXN_5786761"/>
    <s v="CUST_03"/>
    <s v="Computers and electric accessories"/>
    <x v="8"/>
    <n v="12.5"/>
    <n v="5"/>
    <n v="62.5"/>
    <x v="1"/>
    <x v="0"/>
    <s v="10/25/2023"/>
    <b v="0"/>
    <b v="0"/>
    <x v="0"/>
    <x v="0"/>
  </r>
  <r>
    <s v="TXN_4126221"/>
    <s v="CUST_03"/>
    <s v="Furniture"/>
    <x v="10"/>
    <n v="6.5"/>
    <n v="1"/>
    <n v="6.5"/>
    <x v="2"/>
    <x v="0"/>
    <d v="2023-03-07T00:00:00"/>
    <m/>
    <b v="0"/>
    <x v="0"/>
    <x v="0"/>
  </r>
  <r>
    <s v="TXN_3055303"/>
    <s v="CUST_23"/>
    <s v="Food"/>
    <x v="5"/>
    <n v="36.5"/>
    <n v="1"/>
    <n v="36.5"/>
    <x v="2"/>
    <x v="0"/>
    <s v="6/30/2022"/>
    <b v="0"/>
    <b v="0"/>
    <x v="0"/>
    <x v="2"/>
  </r>
  <r>
    <s v="TXN_3042204"/>
    <s v="CUST_16"/>
    <s v="Patisserie"/>
    <x v="12"/>
    <n v="21.5"/>
    <n v="5"/>
    <n v="107.5"/>
    <x v="0"/>
    <x v="0"/>
    <s v="5/14/2023"/>
    <b v="0"/>
    <b v="0"/>
    <x v="0"/>
    <x v="0"/>
  </r>
  <r>
    <s v="TXN_7810642"/>
    <s v="CUST_12"/>
    <s v="Beverages"/>
    <x v="8"/>
    <n v="12.5"/>
    <n v="8"/>
    <n v="100"/>
    <x v="1"/>
    <x v="0"/>
    <d v="2024-04-03T00:00:00"/>
    <b v="0"/>
    <b v="0"/>
    <x v="0"/>
    <x v="0"/>
  </r>
  <r>
    <s v="TXN_1386229"/>
    <s v="CUST_08"/>
    <s v="Computers and electric accessories"/>
    <x v="6"/>
    <n v="20"/>
    <n v="4"/>
    <n v="80"/>
    <x v="1"/>
    <x v="0"/>
    <d v="2023-02-04T00:00:00"/>
    <b v="0"/>
    <b v="0"/>
    <x v="0"/>
    <x v="0"/>
  </r>
  <r>
    <s v="TXN_5372777"/>
    <s v="CUST_08"/>
    <s v="Milk Products"/>
    <x v="7"/>
    <n v="5"/>
    <n v="6"/>
    <n v="30"/>
    <x v="1"/>
    <x v="0"/>
    <s v="5/30/2022"/>
    <b v="0"/>
    <b v="0"/>
    <x v="0"/>
    <x v="0"/>
  </r>
  <r>
    <s v="TXN_2082706"/>
    <s v="CUST_17"/>
    <s v="Furniture"/>
    <x v="4"/>
    <n v="21.5"/>
    <n v="8"/>
    <n v="172"/>
    <x v="2"/>
    <x v="0"/>
    <d v="2024-10-10T00:00:00"/>
    <b v="1"/>
    <b v="0"/>
    <x v="0"/>
    <x v="0"/>
  </r>
  <r>
    <s v="TXN_1808071"/>
    <s v="CUST_25"/>
    <s v="Food"/>
    <x v="11"/>
    <n v="23"/>
    <n v="2"/>
    <n v="46"/>
    <x v="0"/>
    <x v="1"/>
    <s v="10/14/2022"/>
    <b v="0"/>
    <b v="0"/>
    <x v="0"/>
    <x v="0"/>
  </r>
  <r>
    <s v="TXN_2118429"/>
    <s v="CUST_21"/>
    <s v="Butchers"/>
    <x v="12"/>
    <n v="11"/>
    <n v="5"/>
    <n v="55"/>
    <x v="0"/>
    <x v="1"/>
    <s v="10/17/2022"/>
    <b v="0"/>
    <b v="0"/>
    <x v="0"/>
    <x v="0"/>
  </r>
  <r>
    <s v="TXN_4298975"/>
    <s v="CUST_22"/>
    <s v="Milk Products"/>
    <x v="5"/>
    <n v="30.5"/>
    <n v="2"/>
    <n v="61"/>
    <x v="0"/>
    <x v="0"/>
    <s v="12/18/2023"/>
    <b v="0"/>
    <b v="0"/>
    <x v="0"/>
    <x v="1"/>
  </r>
  <r>
    <s v="TXN_4597218"/>
    <s v="CUST_23"/>
    <s v="Patisserie"/>
    <x v="8"/>
    <n v="6.5"/>
    <n v="10"/>
    <n v="65"/>
    <x v="1"/>
    <x v="0"/>
    <s v="6/19/2024"/>
    <m/>
    <b v="0"/>
    <x v="0"/>
    <x v="0"/>
  </r>
  <r>
    <s v="TXN_4793201"/>
    <s v="CUST_12"/>
    <s v="Beverages"/>
    <x v="6"/>
    <n v="27.5"/>
    <n v="2"/>
    <n v="55"/>
    <x v="1"/>
    <x v="1"/>
    <d v="2023-01-09T00:00:00"/>
    <b v="1"/>
    <b v="0"/>
    <x v="0"/>
    <x v="1"/>
  </r>
  <r>
    <s v="TXN_1910565"/>
    <s v="CUST_18"/>
    <s v="Furniture"/>
    <x v="9"/>
    <n v="17"/>
    <n v="9"/>
    <n v="153"/>
    <x v="0"/>
    <x v="1"/>
    <s v="3/26/2024"/>
    <b v="0"/>
    <b v="0"/>
    <x v="0"/>
    <x v="0"/>
  </r>
  <r>
    <s v="TXN_5645530"/>
    <s v="CUST_14"/>
    <s v="Beverages"/>
    <x v="5"/>
    <n v="24.5"/>
    <n v="10"/>
    <n v="245"/>
    <x v="0"/>
    <x v="0"/>
    <d v="2024-06-06T00:00:00"/>
    <b v="0"/>
    <b v="0"/>
    <x v="0"/>
    <x v="0"/>
  </r>
  <r>
    <s v="TXN_7221565"/>
    <s v="CUST_24"/>
    <s v="Furniture"/>
    <x v="4"/>
    <n v="29"/>
    <n v="1"/>
    <n v="29"/>
    <x v="2"/>
    <x v="1"/>
    <s v="2/13/2022"/>
    <b v="0"/>
    <b v="0"/>
    <x v="0"/>
    <x v="1"/>
  </r>
  <r>
    <s v="TXN_2175503"/>
    <s v="CUST_20"/>
    <s v="Electric household essentials"/>
    <x v="11"/>
    <n v="35"/>
    <n v="6"/>
    <n v="210"/>
    <x v="2"/>
    <x v="1"/>
    <d v="2024-02-01T00:00:00"/>
    <b v="0"/>
    <b v="0"/>
    <x v="0"/>
    <x v="2"/>
  </r>
  <r>
    <s v="TXN_3919101"/>
    <s v="CUST_18"/>
    <s v="Milk Products"/>
    <x v="8"/>
    <n v="20"/>
    <n v="4"/>
    <n v="80"/>
    <x v="0"/>
    <x v="0"/>
    <s v="5/22/2022"/>
    <b v="0"/>
    <b v="0"/>
    <x v="0"/>
    <x v="0"/>
  </r>
  <r>
    <s v="TXN_7993933"/>
    <s v="CUST_13"/>
    <s v="Milk Products"/>
    <x v="11"/>
    <n v="23"/>
    <n v="6"/>
    <n v="138"/>
    <x v="1"/>
    <x v="0"/>
    <d v="2022-12-09T00:00:00"/>
    <m/>
    <b v="0"/>
    <x v="0"/>
    <x v="0"/>
  </r>
  <r>
    <s v="TXN_1987133"/>
    <s v="CUST_09"/>
    <s v="Furniture"/>
    <x v="8"/>
    <n v="20"/>
    <n v="3"/>
    <n v="60"/>
    <x v="1"/>
    <x v="0"/>
    <d v="2022-07-06T00:00:00"/>
    <b v="0"/>
    <b v="0"/>
    <x v="0"/>
    <x v="0"/>
  </r>
  <r>
    <s v="TXN_9150129"/>
    <s v="CUST_06"/>
    <s v="Electric household essentials"/>
    <x v="10"/>
    <n v="9.5"/>
    <n v="10"/>
    <n v="95"/>
    <x v="2"/>
    <x v="1"/>
    <s v="6/27/2024"/>
    <b v="0"/>
    <b v="0"/>
    <x v="0"/>
    <x v="0"/>
  </r>
  <r>
    <s v="TXN_1011892"/>
    <s v="CUST_08"/>
    <s v="Furniture"/>
    <x v="5"/>
    <n v="39.5"/>
    <n v="2"/>
    <n v="79"/>
    <x v="1"/>
    <x v="0"/>
    <s v="8/27/2023"/>
    <b v="0"/>
    <b v="0"/>
    <x v="0"/>
    <x v="2"/>
  </r>
  <r>
    <s v="TXN_5476321"/>
    <s v="CUST_02"/>
    <s v="Computers and electric accessories"/>
    <x v="5"/>
    <n v="26"/>
    <n v="3"/>
    <n v="78"/>
    <x v="1"/>
    <x v="0"/>
    <s v="4/24/2023"/>
    <b v="0"/>
    <b v="0"/>
    <x v="0"/>
    <x v="1"/>
  </r>
  <r>
    <s v="TXN_3525189"/>
    <s v="CUST_04"/>
    <s v="Furniture"/>
    <x v="8"/>
    <n v="9.5"/>
    <n v="4"/>
    <n v="38"/>
    <x v="2"/>
    <x v="0"/>
    <s v="1/25/2024"/>
    <b v="0"/>
    <b v="0"/>
    <x v="0"/>
    <x v="0"/>
  </r>
  <r>
    <s v="TXN_5861199"/>
    <s v="CUST_19"/>
    <s v="Beverages"/>
    <x v="10"/>
    <n v="30.5"/>
    <n v="10"/>
    <n v="305"/>
    <x v="2"/>
    <x v="0"/>
    <s v="12/30/2022"/>
    <b v="0"/>
    <b v="0"/>
    <x v="0"/>
    <x v="1"/>
  </r>
  <r>
    <s v="TXN_6454565"/>
    <s v="CUST_24"/>
    <s v="Furniture"/>
    <x v="8"/>
    <n v="12.5"/>
    <n v="3"/>
    <n v="37.5"/>
    <x v="1"/>
    <x v="0"/>
    <d v="2022-07-05T00:00:00"/>
    <m/>
    <b v="0"/>
    <x v="0"/>
    <x v="0"/>
  </r>
  <r>
    <s v="TXN_4827758"/>
    <s v="CUST_06"/>
    <s v="Milk Products"/>
    <x v="12"/>
    <n v="17"/>
    <n v="3"/>
    <n v="51"/>
    <x v="2"/>
    <x v="1"/>
    <s v="11/16/2023"/>
    <m/>
    <b v="0"/>
    <x v="0"/>
    <x v="0"/>
  </r>
  <r>
    <s v="TXN_6215665"/>
    <s v="CUST_22"/>
    <s v="Beverages"/>
    <x v="8"/>
    <n v="38"/>
    <n v="1"/>
    <n v="38"/>
    <x v="0"/>
    <x v="0"/>
    <s v="6/13/2023"/>
    <b v="0"/>
    <b v="0"/>
    <x v="0"/>
    <x v="2"/>
  </r>
  <r>
    <s v="TXN_7710775"/>
    <s v="CUST_05"/>
    <s v="Furniture"/>
    <x v="11"/>
    <n v="38"/>
    <n v="5"/>
    <n v="190"/>
    <x v="0"/>
    <x v="1"/>
    <s v="2/22/2023"/>
    <b v="0"/>
    <b v="0"/>
    <x v="0"/>
    <x v="2"/>
  </r>
  <r>
    <s v="TXN_4701071"/>
    <s v="CUST_13"/>
    <s v="Furniture"/>
    <x v="8"/>
    <n v="5"/>
    <n v="6"/>
    <n v="30"/>
    <x v="0"/>
    <x v="0"/>
    <d v="2023-11-04T00:00:00"/>
    <b v="1"/>
    <b v="0"/>
    <x v="0"/>
    <x v="0"/>
  </r>
  <r>
    <s v="TXN_1593038"/>
    <s v="CUST_10"/>
    <s v="Patisserie"/>
    <x v="5"/>
    <n v="20"/>
    <n v="8"/>
    <n v="160"/>
    <x v="0"/>
    <x v="0"/>
    <s v="2/27/2023"/>
    <b v="0"/>
    <b v="0"/>
    <x v="0"/>
    <x v="0"/>
  </r>
  <r>
    <s v="TXN_7002371"/>
    <s v="CUST_25"/>
    <s v="Butchers"/>
    <x v="11"/>
    <n v="5"/>
    <n v="3"/>
    <n v="15"/>
    <x v="2"/>
    <x v="1"/>
    <s v="1/15/2022"/>
    <m/>
    <b v="0"/>
    <x v="0"/>
    <x v="0"/>
  </r>
  <r>
    <s v="TXN_5423342"/>
    <s v="CUST_19"/>
    <s v="Computers and electric accessories"/>
    <x v="8"/>
    <n v="15.5"/>
    <n v="3"/>
    <n v="46.5"/>
    <x v="0"/>
    <x v="1"/>
    <s v="10/21/2023"/>
    <b v="0"/>
    <b v="0"/>
    <x v="0"/>
    <x v="0"/>
  </r>
  <r>
    <s v="TXN_2010040"/>
    <s v="CUST_10"/>
    <s v="Beverages"/>
    <x v="8"/>
    <n v="32"/>
    <n v="8"/>
    <n v="256"/>
    <x v="2"/>
    <x v="0"/>
    <d v="2024-01-02T00:00:00"/>
    <b v="0"/>
    <b v="0"/>
    <x v="0"/>
    <x v="1"/>
  </r>
  <r>
    <s v="TXN_3087080"/>
    <s v="CUST_23"/>
    <s v="Computers and electric accessories"/>
    <x v="4"/>
    <n v="32"/>
    <n v="7"/>
    <n v="224"/>
    <x v="0"/>
    <x v="1"/>
    <s v="4/23/2022"/>
    <m/>
    <b v="0"/>
    <x v="0"/>
    <x v="1"/>
  </r>
  <r>
    <s v="TXN_1285469"/>
    <s v="CUST_20"/>
    <s v="Electric household essentials"/>
    <x v="9"/>
    <n v="15.5"/>
    <n v="7"/>
    <n v="108.5"/>
    <x v="0"/>
    <x v="0"/>
    <s v="6/17/2022"/>
    <b v="0"/>
    <b v="0"/>
    <x v="0"/>
    <x v="0"/>
  </r>
  <r>
    <s v="TXN_2221021"/>
    <s v="CUST_11"/>
    <s v="Beverages"/>
    <x v="12"/>
    <n v="36.5"/>
    <n v="5"/>
    <n v="182.5"/>
    <x v="0"/>
    <x v="1"/>
    <d v="2022-09-01T00:00:00"/>
    <m/>
    <b v="0"/>
    <x v="0"/>
    <x v="2"/>
  </r>
  <r>
    <s v="TXN_7308742"/>
    <s v="CUST_14"/>
    <s v="Furniture"/>
    <x v="11"/>
    <n v="15.5"/>
    <n v="2"/>
    <n v="31"/>
    <x v="1"/>
    <x v="1"/>
    <s v="7/19/2023"/>
    <b v="0"/>
    <b v="0"/>
    <x v="0"/>
    <x v="0"/>
  </r>
  <r>
    <s v="TXN_4979615"/>
    <s v="CUST_19"/>
    <s v="Food"/>
    <x v="12"/>
    <n v="21.5"/>
    <n v="10"/>
    <n v="215"/>
    <x v="2"/>
    <x v="1"/>
    <d v="2024-10-05T00:00:00"/>
    <b v="0"/>
    <b v="0"/>
    <x v="0"/>
    <x v="0"/>
  </r>
  <r>
    <s v="TXN_2947270"/>
    <s v="CUST_12"/>
    <s v="Furniture"/>
    <x v="10"/>
    <n v="11"/>
    <n v="3"/>
    <n v="33"/>
    <x v="0"/>
    <x v="1"/>
    <d v="2022-12-12T00:00:00"/>
    <m/>
    <b v="0"/>
    <x v="0"/>
    <x v="0"/>
  </r>
  <r>
    <s v="TXN_5115102"/>
    <s v="CUST_14"/>
    <s v="Computers and electric accessories"/>
    <x v="11"/>
    <n v="38"/>
    <n v="4"/>
    <n v="152"/>
    <x v="1"/>
    <x v="0"/>
    <d v="2025-12-01T00:00:00"/>
    <b v="1"/>
    <b v="0"/>
    <x v="0"/>
    <x v="2"/>
  </r>
  <r>
    <s v="TXN_7169040"/>
    <s v="CUST_21"/>
    <s v="Furniture"/>
    <x v="8"/>
    <n v="5"/>
    <n v="10"/>
    <n v="50"/>
    <x v="0"/>
    <x v="1"/>
    <d v="2022-07-04T00:00:00"/>
    <m/>
    <b v="0"/>
    <x v="0"/>
    <x v="0"/>
  </r>
  <r>
    <s v="TXN_4408493"/>
    <s v="CUST_20"/>
    <s v="Butchers"/>
    <x v="6"/>
    <n v="23"/>
    <n v="10"/>
    <n v="230"/>
    <x v="0"/>
    <x v="1"/>
    <d v="2023-10-01T00:00:00"/>
    <b v="1"/>
    <b v="0"/>
    <x v="0"/>
    <x v="0"/>
  </r>
  <r>
    <s v="TXN_9951872"/>
    <s v="CUST_16"/>
    <s v="Electric household essentials"/>
    <x v="8"/>
    <n v="39.5"/>
    <n v="7"/>
    <n v="276.5"/>
    <x v="2"/>
    <x v="0"/>
    <d v="2024-10-11T00:00:00"/>
    <m/>
    <b v="0"/>
    <x v="0"/>
    <x v="2"/>
  </r>
  <r>
    <s v="TXN_2263002"/>
    <s v="CUST_09"/>
    <s v="Patisserie"/>
    <x v="12"/>
    <n v="27.5"/>
    <n v="9"/>
    <n v="247.5"/>
    <x v="0"/>
    <x v="0"/>
    <d v="2022-10-06T00:00:00"/>
    <b v="0"/>
    <b v="0"/>
    <x v="0"/>
    <x v="1"/>
  </r>
  <r>
    <s v="TXN_5671217"/>
    <s v="CUST_17"/>
    <s v="Computers and electric accessories"/>
    <x v="8"/>
    <n v="21.5"/>
    <n v="9"/>
    <n v="193.5"/>
    <x v="0"/>
    <x v="0"/>
    <d v="2023-06-01T00:00:00"/>
    <b v="1"/>
    <b v="0"/>
    <x v="0"/>
    <x v="0"/>
  </r>
  <r>
    <s v="TXN_6586324"/>
    <s v="CUST_15"/>
    <s v="Butchers"/>
    <x v="9"/>
    <n v="30.5"/>
    <n v="6"/>
    <n v="183"/>
    <x v="0"/>
    <x v="1"/>
    <d v="2024-08-05T00:00:00"/>
    <m/>
    <b v="0"/>
    <x v="0"/>
    <x v="1"/>
  </r>
  <r>
    <s v="TXN_9763067"/>
    <s v="CUST_18"/>
    <s v="Furniture"/>
    <x v="10"/>
    <n v="27.5"/>
    <n v="10"/>
    <n v="275"/>
    <x v="2"/>
    <x v="1"/>
    <d v="2024-04-08T00:00:00"/>
    <b v="0"/>
    <b v="0"/>
    <x v="0"/>
    <x v="1"/>
  </r>
  <r>
    <s v="TXN_3490623"/>
    <s v="CUST_09"/>
    <s v="Patisserie"/>
    <x v="4"/>
    <n v="15.5"/>
    <n v="2"/>
    <n v="31"/>
    <x v="1"/>
    <x v="0"/>
    <d v="2022-02-03T00:00:00"/>
    <m/>
    <b v="0"/>
    <x v="0"/>
    <x v="0"/>
  </r>
  <r>
    <s v="TXN_6440999"/>
    <s v="CUST_04"/>
    <s v="Milk Products"/>
    <x v="12"/>
    <n v="15.5"/>
    <n v="2"/>
    <n v="31"/>
    <x v="0"/>
    <x v="0"/>
    <s v="6/28/2022"/>
    <m/>
    <b v="0"/>
    <x v="0"/>
    <x v="0"/>
  </r>
  <r>
    <s v="TXN_4189415"/>
    <s v="CUST_03"/>
    <s v="Food"/>
    <x v="9"/>
    <n v="6.5"/>
    <n v="4"/>
    <n v="26"/>
    <x v="1"/>
    <x v="1"/>
    <d v="2024-08-03T00:00:00"/>
    <m/>
    <b v="0"/>
    <x v="0"/>
    <x v="0"/>
  </r>
  <r>
    <s v="TXN_8177929"/>
    <s v="CUST_12"/>
    <s v="Furniture"/>
    <x v="8"/>
    <n v="38"/>
    <n v="2"/>
    <n v="76"/>
    <x v="1"/>
    <x v="0"/>
    <d v="2022-12-06T00:00:00"/>
    <b v="1"/>
    <b v="0"/>
    <x v="0"/>
    <x v="2"/>
  </r>
  <r>
    <s v="TXN_8955882"/>
    <s v="CUST_09"/>
    <s v="Milk Products"/>
    <x v="4"/>
    <n v="23"/>
    <n v="10"/>
    <n v="230"/>
    <x v="0"/>
    <x v="0"/>
    <d v="2023-03-12T00:00:00"/>
    <m/>
    <b v="0"/>
    <x v="0"/>
    <x v="0"/>
  </r>
  <r>
    <s v="TXN_1826446"/>
    <s v="CUST_21"/>
    <s v="Butchers"/>
    <x v="5"/>
    <n v="30.5"/>
    <n v="9"/>
    <n v="274.5"/>
    <x v="1"/>
    <x v="1"/>
    <s v="6/13/2022"/>
    <b v="0"/>
    <b v="0"/>
    <x v="0"/>
    <x v="1"/>
  </r>
  <r>
    <s v="TXN_5430099"/>
    <s v="CUST_08"/>
    <s v="Patisserie"/>
    <x v="6"/>
    <n v="15.5"/>
    <n v="6"/>
    <n v="93"/>
    <x v="1"/>
    <x v="0"/>
    <d v="2023-10-08T00:00:00"/>
    <m/>
    <b v="0"/>
    <x v="0"/>
    <x v="0"/>
  </r>
  <r>
    <s v="TXN_6053212"/>
    <s v="CUST_08"/>
    <s v="Electric household essentials"/>
    <x v="8"/>
    <n v="6.5"/>
    <n v="10"/>
    <n v="65"/>
    <x v="1"/>
    <x v="1"/>
    <d v="2023-02-11T00:00:00"/>
    <m/>
    <b v="0"/>
    <x v="0"/>
    <x v="0"/>
  </r>
  <r>
    <s v="TXN_2275327"/>
    <s v="CUST_08"/>
    <s v="Patisserie"/>
    <x v="5"/>
    <n v="23"/>
    <n v="3"/>
    <n v="69"/>
    <x v="2"/>
    <x v="1"/>
    <s v="8/13/2022"/>
    <b v="0"/>
    <b v="0"/>
    <x v="0"/>
    <x v="0"/>
  </r>
  <r>
    <s v="TXN_3543865"/>
    <s v="CUST_09"/>
    <s v="Computers and electric accessories"/>
    <x v="9"/>
    <n v="21.5"/>
    <n v="1"/>
    <n v="21.5"/>
    <x v="2"/>
    <x v="1"/>
    <s v="11/20/2023"/>
    <m/>
    <b v="0"/>
    <x v="0"/>
    <x v="0"/>
  </r>
  <r>
    <s v="TXN_3876653"/>
    <s v="CUST_23"/>
    <s v="Computers and electric accessories"/>
    <x v="4"/>
    <n v="14"/>
    <n v="7"/>
    <n v="98"/>
    <x v="2"/>
    <x v="1"/>
    <d v="2024-06-07T00:00:00"/>
    <b v="0"/>
    <b v="0"/>
    <x v="0"/>
    <x v="0"/>
  </r>
  <r>
    <s v="TXN_8090678"/>
    <s v="CUST_08"/>
    <s v="Electric household essentials"/>
    <x v="10"/>
    <n v="15.5"/>
    <n v="5"/>
    <n v="77.5"/>
    <x v="0"/>
    <x v="0"/>
    <d v="2024-01-05T00:00:00"/>
    <b v="0"/>
    <b v="0"/>
    <x v="0"/>
    <x v="0"/>
  </r>
  <r>
    <s v="TXN_1865764"/>
    <s v="CUST_08"/>
    <s v="Computers and electric accessories"/>
    <x v="4"/>
    <n v="35"/>
    <n v="8"/>
    <n v="280"/>
    <x v="1"/>
    <x v="0"/>
    <d v="2024-10-12T00:00:00"/>
    <m/>
    <b v="0"/>
    <x v="0"/>
    <x v="2"/>
  </r>
  <r>
    <s v="TXN_7555309"/>
    <s v="CUST_12"/>
    <s v="Beverages"/>
    <x v="12"/>
    <n v="21.5"/>
    <n v="5"/>
    <n v="107.5"/>
    <x v="1"/>
    <x v="0"/>
    <s v="7/15/2022"/>
    <b v="0"/>
    <b v="0"/>
    <x v="0"/>
    <x v="0"/>
  </r>
  <r>
    <s v="TXN_7232230"/>
    <s v="CUST_17"/>
    <s v="Computers and electric accessories"/>
    <x v="12"/>
    <n v="11"/>
    <n v="5"/>
    <n v="55"/>
    <x v="1"/>
    <x v="0"/>
    <s v="6/14/2023"/>
    <b v="0"/>
    <b v="0"/>
    <x v="0"/>
    <x v="0"/>
  </r>
  <r>
    <s v="TXN_4354993"/>
    <s v="CUST_15"/>
    <s v="Milk Products"/>
    <x v="10"/>
    <n v="35"/>
    <n v="7"/>
    <n v="245"/>
    <x v="2"/>
    <x v="1"/>
    <d v="2023-09-10T00:00:00"/>
    <m/>
    <b v="0"/>
    <x v="0"/>
    <x v="2"/>
  </r>
  <r>
    <s v="TXN_1099045"/>
    <s v="CUST_21"/>
    <s v="Patisserie"/>
    <x v="12"/>
    <n v="18.5"/>
    <n v="6"/>
    <n v="111"/>
    <x v="0"/>
    <x v="0"/>
    <d v="2022-12-09T00:00:00"/>
    <m/>
    <b v="0"/>
    <x v="0"/>
    <x v="0"/>
  </r>
  <r>
    <s v="TXN_4797019"/>
    <s v="CUST_19"/>
    <s v="Milk Products"/>
    <x v="11"/>
    <n v="23"/>
    <n v="6"/>
    <n v="138"/>
    <x v="2"/>
    <x v="0"/>
    <s v="6/30/2023"/>
    <b v="0"/>
    <b v="0"/>
    <x v="0"/>
    <x v="0"/>
  </r>
  <r>
    <s v="TXN_6375385"/>
    <s v="CUST_24"/>
    <s v="Furniture"/>
    <x v="12"/>
    <n v="20"/>
    <n v="8"/>
    <n v="160"/>
    <x v="0"/>
    <x v="0"/>
    <d v="2023-07-06T00:00:00"/>
    <b v="0"/>
    <b v="0"/>
    <x v="0"/>
    <x v="0"/>
  </r>
  <r>
    <s v="TXN_1243810"/>
    <s v="CUST_15"/>
    <s v="Furniture"/>
    <x v="5"/>
    <n v="20"/>
    <n v="8"/>
    <n v="160"/>
    <x v="2"/>
    <x v="0"/>
    <s v="12/28/2023"/>
    <b v="0"/>
    <b v="0"/>
    <x v="0"/>
    <x v="0"/>
  </r>
  <r>
    <s v="TXN_9398224"/>
    <s v="CUST_18"/>
    <s v="Electric household essentials"/>
    <x v="4"/>
    <n v="15.5"/>
    <n v="5"/>
    <n v="77.5"/>
    <x v="0"/>
    <x v="1"/>
    <s v="2/16/2024"/>
    <b v="0"/>
    <b v="0"/>
    <x v="0"/>
    <x v="0"/>
  </r>
  <r>
    <s v="TXN_9044784"/>
    <s v="CUST_21"/>
    <s v="Electric household essentials"/>
    <x v="5"/>
    <n v="41"/>
    <n v="5"/>
    <n v="205"/>
    <x v="0"/>
    <x v="0"/>
    <s v="3/22/2024"/>
    <b v="0"/>
    <b v="0"/>
    <x v="0"/>
    <x v="2"/>
  </r>
  <r>
    <s v="TXN_5720404"/>
    <s v="CUST_22"/>
    <s v="Beverages"/>
    <x v="8"/>
    <n v="36.5"/>
    <n v="7"/>
    <n v="255.5"/>
    <x v="2"/>
    <x v="1"/>
    <s v="3/22/2022"/>
    <b v="0"/>
    <b v="0"/>
    <x v="0"/>
    <x v="2"/>
  </r>
  <r>
    <s v="TXN_2533200"/>
    <s v="CUST_05"/>
    <s v="Patisserie"/>
    <x v="8"/>
    <n v="5"/>
    <n v="8"/>
    <n v="40"/>
    <x v="1"/>
    <x v="0"/>
    <s v="10/28/2022"/>
    <b v="0"/>
    <b v="0"/>
    <x v="0"/>
    <x v="0"/>
  </r>
  <r>
    <s v="TXN_4464985"/>
    <s v="CUST_14"/>
    <s v="Butchers"/>
    <x v="10"/>
    <n v="23"/>
    <n v="8"/>
    <n v="184"/>
    <x v="0"/>
    <x v="0"/>
    <d v="2022-02-12T00:00:00"/>
    <m/>
    <b v="0"/>
    <x v="0"/>
    <x v="0"/>
  </r>
  <r>
    <s v="TXN_6117973"/>
    <s v="CUST_10"/>
    <s v="Electric household essentials"/>
    <x v="10"/>
    <n v="26"/>
    <n v="7"/>
    <n v="182"/>
    <x v="2"/>
    <x v="0"/>
    <s v="5/15/2022"/>
    <m/>
    <b v="0"/>
    <x v="0"/>
    <x v="1"/>
  </r>
  <r>
    <s v="TXN_9340286"/>
    <s v="CUST_19"/>
    <s v="Milk Products"/>
    <x v="11"/>
    <n v="12.5"/>
    <n v="2"/>
    <n v="25"/>
    <x v="2"/>
    <x v="1"/>
    <s v="8/13/2024"/>
    <b v="0"/>
    <b v="0"/>
    <x v="0"/>
    <x v="0"/>
  </r>
  <r>
    <s v="TXN_3242349"/>
    <s v="CUST_03"/>
    <s v="Furniture"/>
    <x v="4"/>
    <n v="24.5"/>
    <n v="7"/>
    <n v="171.5"/>
    <x v="2"/>
    <x v="0"/>
    <s v="12/26/2022"/>
    <b v="0"/>
    <b v="0"/>
    <x v="0"/>
    <x v="0"/>
  </r>
  <r>
    <s v="TXN_9299802"/>
    <s v="CUST_03"/>
    <s v="Patisserie"/>
    <x v="9"/>
    <n v="29"/>
    <n v="1"/>
    <n v="29"/>
    <x v="2"/>
    <x v="0"/>
    <s v="3/25/2023"/>
    <b v="0"/>
    <b v="0"/>
    <x v="0"/>
    <x v="1"/>
  </r>
  <r>
    <s v="TXN_5371741"/>
    <s v="CUST_12"/>
    <s v="Electric household essentials"/>
    <x v="10"/>
    <n v="29"/>
    <n v="4"/>
    <n v="116"/>
    <x v="0"/>
    <x v="1"/>
    <s v="8/21/2022"/>
    <b v="0"/>
    <b v="0"/>
    <x v="0"/>
    <x v="1"/>
  </r>
  <r>
    <s v="TXN_7101302"/>
    <s v="CUST_16"/>
    <s v="Beverages"/>
    <x v="5"/>
    <n v="33.5"/>
    <n v="1"/>
    <n v="33.5"/>
    <x v="2"/>
    <x v="1"/>
    <s v="10/24/2024"/>
    <b v="0"/>
    <b v="0"/>
    <x v="0"/>
    <x v="1"/>
  </r>
  <r>
    <s v="TXN_7903686"/>
    <s v="CUST_10"/>
    <s v="Beverages"/>
    <x v="8"/>
    <n v="29"/>
    <n v="1"/>
    <n v="29"/>
    <x v="0"/>
    <x v="0"/>
    <s v="3/13/2022"/>
    <b v="0"/>
    <b v="0"/>
    <x v="0"/>
    <x v="1"/>
  </r>
  <r>
    <s v="TXN_3761426"/>
    <s v="CUST_11"/>
    <s v="Furniture"/>
    <x v="4"/>
    <n v="20"/>
    <n v="1"/>
    <n v="20"/>
    <x v="1"/>
    <x v="1"/>
    <s v="12/16/2024"/>
    <m/>
    <b v="0"/>
    <x v="0"/>
    <x v="0"/>
  </r>
  <r>
    <s v="TXN_5381188"/>
    <s v="CUST_17"/>
    <s v="Furniture"/>
    <x v="10"/>
    <n v="5"/>
    <n v="5"/>
    <n v="25"/>
    <x v="1"/>
    <x v="0"/>
    <s v="12/15/2022"/>
    <b v="0"/>
    <b v="0"/>
    <x v="0"/>
    <x v="0"/>
  </r>
  <r>
    <s v="TXN_9844205"/>
    <s v="CUST_05"/>
    <s v="Furniture"/>
    <x v="11"/>
    <n v="29"/>
    <n v="2"/>
    <n v="58"/>
    <x v="2"/>
    <x v="0"/>
    <d v="2023-12-01T00:00:00"/>
    <b v="0"/>
    <b v="0"/>
    <x v="0"/>
    <x v="1"/>
  </r>
  <r>
    <s v="TXN_9443022"/>
    <s v="CUST_12"/>
    <s v="Milk Products"/>
    <x v="11"/>
    <n v="26"/>
    <n v="2"/>
    <n v="52"/>
    <x v="2"/>
    <x v="1"/>
    <s v="3/27/2024"/>
    <b v="0"/>
    <b v="0"/>
    <x v="0"/>
    <x v="1"/>
  </r>
  <r>
    <s v="TXN_2545845"/>
    <s v="CUST_09"/>
    <s v="Computers and electric accessories"/>
    <x v="8"/>
    <n v="30.5"/>
    <n v="9"/>
    <n v="274.5"/>
    <x v="2"/>
    <x v="1"/>
    <s v="8/28/2024"/>
    <b v="0"/>
    <b v="0"/>
    <x v="0"/>
    <x v="1"/>
  </r>
  <r>
    <s v="TXN_9793935"/>
    <s v="CUST_18"/>
    <s v="Milk Products"/>
    <x v="8"/>
    <n v="30.5"/>
    <n v="7"/>
    <n v="213.5"/>
    <x v="1"/>
    <x v="1"/>
    <d v="2023-04-10T00:00:00"/>
    <b v="1"/>
    <b v="0"/>
    <x v="0"/>
    <x v="1"/>
  </r>
  <r>
    <s v="TXN_1919020"/>
    <s v="CUST_20"/>
    <s v="Butchers"/>
    <x v="8"/>
    <n v="36.5"/>
    <n v="10"/>
    <n v="365"/>
    <x v="0"/>
    <x v="1"/>
    <s v="3/18/2022"/>
    <b v="0"/>
    <b v="0"/>
    <x v="0"/>
    <x v="2"/>
  </r>
  <r>
    <s v="TXN_9972181"/>
    <s v="CUST_22"/>
    <s v="Electric household essentials"/>
    <x v="5"/>
    <n v="35"/>
    <n v="5"/>
    <n v="175"/>
    <x v="2"/>
    <x v="1"/>
    <s v="12/28/2024"/>
    <b v="0"/>
    <b v="0"/>
    <x v="0"/>
    <x v="2"/>
  </r>
  <r>
    <s v="TXN_4432365"/>
    <s v="CUST_01"/>
    <s v="Butchers"/>
    <x v="12"/>
    <n v="21.5"/>
    <n v="5"/>
    <n v="107.5"/>
    <x v="2"/>
    <x v="1"/>
    <s v="3/17/2022"/>
    <b v="0"/>
    <b v="0"/>
    <x v="0"/>
    <x v="0"/>
  </r>
  <r>
    <s v="TXN_7305258"/>
    <s v="CUST_14"/>
    <s v="Patisserie"/>
    <x v="5"/>
    <n v="38"/>
    <n v="3"/>
    <n v="114"/>
    <x v="0"/>
    <x v="0"/>
    <s v="4/25/2022"/>
    <b v="0"/>
    <b v="0"/>
    <x v="0"/>
    <x v="2"/>
  </r>
  <r>
    <s v="TXN_8802743"/>
    <s v="CUST_23"/>
    <s v="Milk Products"/>
    <x v="9"/>
    <n v="32"/>
    <n v="6"/>
    <n v="192"/>
    <x v="1"/>
    <x v="0"/>
    <s v="9/17/2023"/>
    <b v="0"/>
    <b v="0"/>
    <x v="0"/>
    <x v="1"/>
  </r>
  <r>
    <s v="TXN_5930319"/>
    <s v="CUST_16"/>
    <s v="Electric household essentials"/>
    <x v="10"/>
    <n v="26"/>
    <n v="3"/>
    <n v="78"/>
    <x v="2"/>
    <x v="1"/>
    <s v="8/29/2022"/>
    <m/>
    <b v="0"/>
    <x v="0"/>
    <x v="1"/>
  </r>
  <r>
    <s v="TXN_3141947"/>
    <s v="CUST_14"/>
    <s v="Food"/>
    <x v="9"/>
    <n v="29"/>
    <n v="7"/>
    <n v="203"/>
    <x v="1"/>
    <x v="1"/>
    <d v="2022-10-08T00:00:00"/>
    <m/>
    <b v="0"/>
    <x v="0"/>
    <x v="1"/>
  </r>
  <r>
    <s v="TXN_6126899"/>
    <s v="CUST_10"/>
    <s v="Milk Products"/>
    <x v="4"/>
    <n v="23"/>
    <n v="7"/>
    <n v="161"/>
    <x v="1"/>
    <x v="1"/>
    <d v="2023-08-11T00:00:00"/>
    <m/>
    <b v="0"/>
    <x v="0"/>
    <x v="0"/>
  </r>
  <r>
    <s v="TXN_4759687"/>
    <s v="CUST_24"/>
    <s v="Milk Products"/>
    <x v="5"/>
    <n v="6.5"/>
    <n v="10"/>
    <n v="65"/>
    <x v="1"/>
    <x v="0"/>
    <s v="6/20/2023"/>
    <b v="0"/>
    <b v="0"/>
    <x v="0"/>
    <x v="0"/>
  </r>
  <r>
    <s v="TXN_7157580"/>
    <s v="CUST_14"/>
    <s v="Food"/>
    <x v="10"/>
    <n v="21.5"/>
    <n v="9"/>
    <n v="193.5"/>
    <x v="0"/>
    <x v="0"/>
    <d v="2022-05-11T00:00:00"/>
    <b v="0"/>
    <b v="0"/>
    <x v="0"/>
    <x v="0"/>
  </r>
  <r>
    <s v="TXN_4249343"/>
    <s v="CUST_22"/>
    <s v="Milk Products"/>
    <x v="6"/>
    <n v="29"/>
    <n v="2"/>
    <n v="58"/>
    <x v="0"/>
    <x v="1"/>
    <d v="2022-10-07T00:00:00"/>
    <b v="0"/>
    <b v="0"/>
    <x v="0"/>
    <x v="1"/>
  </r>
  <r>
    <s v="TXN_6137503"/>
    <s v="CUST_02"/>
    <s v="Butchers"/>
    <x v="5"/>
    <n v="38"/>
    <n v="7"/>
    <n v="266"/>
    <x v="1"/>
    <x v="1"/>
    <d v="2022-05-04T00:00:00"/>
    <b v="0"/>
    <b v="0"/>
    <x v="0"/>
    <x v="2"/>
  </r>
  <r>
    <s v="TXN_5300736"/>
    <s v="CUST_02"/>
    <s v="Furniture"/>
    <x v="5"/>
    <n v="39.5"/>
    <n v="7"/>
    <n v="276.5"/>
    <x v="2"/>
    <x v="1"/>
    <s v="7/17/2022"/>
    <b v="0"/>
    <b v="0"/>
    <x v="0"/>
    <x v="2"/>
  </r>
  <r>
    <s v="TXN_1370562"/>
    <s v="CUST_25"/>
    <s v="Computers and electric accessories"/>
    <x v="6"/>
    <n v="20"/>
    <n v="7"/>
    <n v="140"/>
    <x v="1"/>
    <x v="0"/>
    <d v="2022-01-09T00:00:00"/>
    <b v="0"/>
    <b v="0"/>
    <x v="0"/>
    <x v="0"/>
  </r>
  <r>
    <s v="TXN_7327686"/>
    <s v="CUST_02"/>
    <s v="Furniture"/>
    <x v="5"/>
    <n v="20"/>
    <n v="2"/>
    <n v="40"/>
    <x v="2"/>
    <x v="0"/>
    <s v="5/17/2024"/>
    <b v="0"/>
    <b v="0"/>
    <x v="0"/>
    <x v="0"/>
  </r>
  <r>
    <s v="TXN_6017693"/>
    <s v="CUST_14"/>
    <s v="Beverages"/>
    <x v="9"/>
    <n v="20"/>
    <n v="1"/>
    <n v="20"/>
    <x v="0"/>
    <x v="0"/>
    <s v="2/24/2022"/>
    <b v="0"/>
    <b v="0"/>
    <x v="0"/>
    <x v="0"/>
  </r>
  <r>
    <s v="TXN_7165120"/>
    <s v="CUST_17"/>
    <s v="Patisserie"/>
    <x v="8"/>
    <n v="36.5"/>
    <n v="2"/>
    <n v="73"/>
    <x v="2"/>
    <x v="1"/>
    <s v="10/23/2023"/>
    <b v="0"/>
    <b v="0"/>
    <x v="0"/>
    <x v="2"/>
  </r>
  <r>
    <s v="TXN_9703848"/>
    <s v="CUST_15"/>
    <s v="Food"/>
    <x v="8"/>
    <n v="26"/>
    <n v="4"/>
    <n v="104"/>
    <x v="2"/>
    <x v="0"/>
    <s v="6/16/2022"/>
    <b v="0"/>
    <b v="0"/>
    <x v="0"/>
    <x v="1"/>
  </r>
  <r>
    <s v="TXN_2702011"/>
    <s v="CUST_12"/>
    <s v="Furniture"/>
    <x v="11"/>
    <n v="21.5"/>
    <n v="5"/>
    <n v="107.5"/>
    <x v="2"/>
    <x v="0"/>
    <s v="12/28/2023"/>
    <b v="0"/>
    <b v="0"/>
    <x v="0"/>
    <x v="0"/>
  </r>
  <r>
    <s v="TXN_6364377"/>
    <s v="CUST_10"/>
    <s v="Milk Products"/>
    <x v="4"/>
    <n v="29"/>
    <n v="2"/>
    <n v="58"/>
    <x v="1"/>
    <x v="1"/>
    <d v="2024-03-12T00:00:00"/>
    <b v="0"/>
    <b v="0"/>
    <x v="0"/>
    <x v="1"/>
  </r>
  <r>
    <s v="TXN_8231762"/>
    <s v="CUST_11"/>
    <s v="Beverages"/>
    <x v="7"/>
    <n v="33.5"/>
    <n v="6"/>
    <n v="201"/>
    <x v="1"/>
    <x v="0"/>
    <s v="1/17/2022"/>
    <b v="0"/>
    <b v="0"/>
    <x v="0"/>
    <x v="1"/>
  </r>
  <r>
    <s v="TXN_7101979"/>
    <s v="CUST_15"/>
    <s v="Computers and electric accessories"/>
    <x v="6"/>
    <n v="33.5"/>
    <n v="7"/>
    <n v="234.5"/>
    <x v="1"/>
    <x v="1"/>
    <s v="4/14/2023"/>
    <b v="0"/>
    <b v="0"/>
    <x v="0"/>
    <x v="1"/>
  </r>
  <r>
    <s v="TXN_8788021"/>
    <s v="CUST_25"/>
    <s v="Food"/>
    <x v="8"/>
    <n v="29"/>
    <n v="3"/>
    <n v="87"/>
    <x v="0"/>
    <x v="1"/>
    <s v="11/26/2024"/>
    <m/>
    <b v="0"/>
    <x v="0"/>
    <x v="1"/>
  </r>
  <r>
    <s v="TXN_6917255"/>
    <s v="CUST_07"/>
    <s v="Food"/>
    <x v="5"/>
    <n v="15.5"/>
    <n v="6"/>
    <n v="93"/>
    <x v="1"/>
    <x v="1"/>
    <s v="7/31/2024"/>
    <b v="0"/>
    <b v="0"/>
    <x v="0"/>
    <x v="0"/>
  </r>
  <r>
    <s v="TXN_3821185"/>
    <s v="CUST_23"/>
    <s v="Computers and electric accessories"/>
    <x v="11"/>
    <n v="26"/>
    <n v="4"/>
    <n v="104"/>
    <x v="0"/>
    <x v="1"/>
    <d v="2024-11-09T00:00:00"/>
    <b v="1"/>
    <b v="0"/>
    <x v="0"/>
    <x v="1"/>
  </r>
  <r>
    <s v="TXN_5773991"/>
    <s v="CUST_01"/>
    <s v="Food"/>
    <x v="12"/>
    <n v="8"/>
    <n v="7"/>
    <n v="56"/>
    <x v="2"/>
    <x v="0"/>
    <s v="9/30/2022"/>
    <b v="0"/>
    <b v="0"/>
    <x v="0"/>
    <x v="0"/>
  </r>
  <r>
    <s v="TXN_8508384"/>
    <s v="CUST_18"/>
    <s v="Food"/>
    <x v="6"/>
    <n v="9.5"/>
    <n v="3"/>
    <n v="28.5"/>
    <x v="1"/>
    <x v="1"/>
    <s v="1/29/2022"/>
    <b v="0"/>
    <b v="0"/>
    <x v="0"/>
    <x v="0"/>
  </r>
  <r>
    <s v="TXN_5636224"/>
    <s v="CUST_23"/>
    <s v="Computers and electric accessories"/>
    <x v="6"/>
    <n v="21.5"/>
    <n v="4"/>
    <n v="86"/>
    <x v="2"/>
    <x v="0"/>
    <d v="2024-04-10T00:00:00"/>
    <m/>
    <b v="0"/>
    <x v="0"/>
    <x v="0"/>
  </r>
  <r>
    <s v="TXN_9191575"/>
    <s v="CUST_01"/>
    <s v="Milk Products"/>
    <x v="12"/>
    <n v="9.5"/>
    <n v="7"/>
    <n v="66.5"/>
    <x v="0"/>
    <x v="1"/>
    <s v="1/28/2024"/>
    <m/>
    <b v="0"/>
    <x v="0"/>
    <x v="0"/>
  </r>
  <r>
    <s v="TXN_8994966"/>
    <s v="CUST_14"/>
    <s v="Butchers"/>
    <x v="6"/>
    <n v="11"/>
    <n v="5"/>
    <n v="55"/>
    <x v="2"/>
    <x v="0"/>
    <s v="12/25/2024"/>
    <b v="0"/>
    <b v="0"/>
    <x v="0"/>
    <x v="0"/>
  </r>
  <r>
    <s v="TXN_6205992"/>
    <s v="CUST_11"/>
    <s v="Beverages"/>
    <x v="6"/>
    <n v="15.5"/>
    <n v="6"/>
    <n v="93"/>
    <x v="1"/>
    <x v="1"/>
    <d v="2023-08-07T00:00:00"/>
    <m/>
    <b v="0"/>
    <x v="0"/>
    <x v="0"/>
  </r>
  <r>
    <s v="TXN_4108548"/>
    <s v="CUST_20"/>
    <s v="Electric household essentials"/>
    <x v="12"/>
    <n v="12.5"/>
    <n v="2"/>
    <n v="25"/>
    <x v="2"/>
    <x v="0"/>
    <d v="2023-12-03T00:00:00"/>
    <b v="0"/>
    <b v="0"/>
    <x v="0"/>
    <x v="0"/>
  </r>
  <r>
    <s v="TXN_8781758"/>
    <s v="CUST_20"/>
    <s v="Furniture"/>
    <x v="5"/>
    <n v="11"/>
    <n v="5"/>
    <n v="55"/>
    <x v="1"/>
    <x v="1"/>
    <s v="2/13/2024"/>
    <b v="0"/>
    <b v="0"/>
    <x v="0"/>
    <x v="0"/>
  </r>
  <r>
    <s v="TXN_5396051"/>
    <s v="CUST_08"/>
    <s v="Butchers"/>
    <x v="9"/>
    <n v="33.5"/>
    <n v="2"/>
    <n v="67"/>
    <x v="2"/>
    <x v="1"/>
    <d v="2024-01-09T00:00:00"/>
    <b v="1"/>
    <b v="0"/>
    <x v="0"/>
    <x v="1"/>
  </r>
  <r>
    <s v="TXN_4766907"/>
    <s v="CUST_03"/>
    <s v="Butchers"/>
    <x v="11"/>
    <n v="15.5"/>
    <n v="9"/>
    <n v="139.5"/>
    <x v="0"/>
    <x v="0"/>
    <d v="2022-05-03T00:00:00"/>
    <b v="0"/>
    <b v="0"/>
    <x v="0"/>
    <x v="0"/>
  </r>
  <r>
    <s v="TXN_4191425"/>
    <s v="CUST_25"/>
    <s v="Beverages"/>
    <x v="10"/>
    <n v="30.5"/>
    <n v="1"/>
    <n v="30.5"/>
    <x v="0"/>
    <x v="1"/>
    <d v="2024-08-10T00:00:00"/>
    <b v="0"/>
    <b v="0"/>
    <x v="0"/>
    <x v="1"/>
  </r>
  <r>
    <s v="TXN_1721597"/>
    <s v="CUST_22"/>
    <s v="Computers and electric accessories"/>
    <x v="8"/>
    <n v="20"/>
    <n v="1"/>
    <n v="20"/>
    <x v="1"/>
    <x v="0"/>
    <s v="4/20/2023"/>
    <b v="0"/>
    <b v="0"/>
    <x v="0"/>
    <x v="0"/>
  </r>
  <r>
    <s v="TXN_8418594"/>
    <s v="CUST_23"/>
    <s v="Food"/>
    <x v="9"/>
    <n v="9.5"/>
    <n v="9"/>
    <n v="85.5"/>
    <x v="1"/>
    <x v="1"/>
    <d v="2024-10-12T00:00:00"/>
    <b v="1"/>
    <b v="0"/>
    <x v="0"/>
    <x v="0"/>
  </r>
  <r>
    <s v="TXN_9717999"/>
    <s v="CUST_03"/>
    <s v="Furniture"/>
    <x v="9"/>
    <n v="24.5"/>
    <n v="2"/>
    <n v="49"/>
    <x v="0"/>
    <x v="1"/>
    <s v="4/29/2022"/>
    <m/>
    <b v="0"/>
    <x v="0"/>
    <x v="0"/>
  </r>
  <r>
    <s v="TXN_5430495"/>
    <s v="CUST_11"/>
    <s v="Beverages"/>
    <x v="11"/>
    <n v="33.5"/>
    <n v="5"/>
    <n v="167.5"/>
    <x v="0"/>
    <x v="0"/>
    <d v="2024-11-01T00:00:00"/>
    <b v="0"/>
    <b v="0"/>
    <x v="0"/>
    <x v="1"/>
  </r>
  <r>
    <s v="TXN_8715323"/>
    <s v="CUST_09"/>
    <s v="Butchers"/>
    <x v="12"/>
    <n v="33.5"/>
    <n v="2"/>
    <n v="67"/>
    <x v="1"/>
    <x v="1"/>
    <d v="2023-12-03T00:00:00"/>
    <b v="0"/>
    <b v="0"/>
    <x v="0"/>
    <x v="1"/>
  </r>
  <r>
    <s v="TXN_9730853"/>
    <s v="CUST_19"/>
    <s v="Beverages"/>
    <x v="6"/>
    <n v="20"/>
    <n v="3"/>
    <n v="60"/>
    <x v="1"/>
    <x v="0"/>
    <s v="11/16/2022"/>
    <b v="0"/>
    <b v="0"/>
    <x v="0"/>
    <x v="0"/>
  </r>
  <r>
    <s v="TXN_4924226"/>
    <s v="CUST_05"/>
    <s v="Beverages"/>
    <x v="8"/>
    <n v="15.5"/>
    <n v="4"/>
    <n v="62"/>
    <x v="2"/>
    <x v="1"/>
    <d v="2023-06-03T00:00:00"/>
    <b v="0"/>
    <b v="0"/>
    <x v="0"/>
    <x v="0"/>
  </r>
  <r>
    <s v="TXN_2086962"/>
    <s v="CUST_13"/>
    <s v="Food"/>
    <x v="11"/>
    <n v="12.5"/>
    <n v="5"/>
    <n v="62.5"/>
    <x v="1"/>
    <x v="1"/>
    <d v="2022-06-04T00:00:00"/>
    <b v="0"/>
    <b v="0"/>
    <x v="0"/>
    <x v="0"/>
  </r>
  <r>
    <s v="TXN_7037115"/>
    <s v="CUST_07"/>
    <s v="Furniture"/>
    <x v="9"/>
    <n v="11"/>
    <n v="5"/>
    <n v="55"/>
    <x v="1"/>
    <x v="1"/>
    <s v="2/23/2024"/>
    <m/>
    <b v="0"/>
    <x v="0"/>
    <x v="0"/>
  </r>
  <r>
    <s v="TXN_1534987"/>
    <s v="CUST_04"/>
    <s v="Food"/>
    <x v="11"/>
    <n v="12.5"/>
    <n v="3"/>
    <n v="37.5"/>
    <x v="2"/>
    <x v="0"/>
    <d v="2022-03-07T00:00:00"/>
    <m/>
    <b v="0"/>
    <x v="0"/>
    <x v="0"/>
  </r>
  <r>
    <s v="TXN_3302248"/>
    <s v="CUST_20"/>
    <s v="Electric household essentials"/>
    <x v="11"/>
    <n v="18.5"/>
    <n v="3"/>
    <n v="55.5"/>
    <x v="1"/>
    <x v="0"/>
    <d v="2024-04-01T00:00:00"/>
    <b v="0"/>
    <b v="0"/>
    <x v="0"/>
    <x v="0"/>
  </r>
  <r>
    <s v="TXN_7830284"/>
    <s v="CUST_19"/>
    <s v="Electric household essentials"/>
    <x v="6"/>
    <n v="35"/>
    <n v="5"/>
    <n v="175"/>
    <x v="1"/>
    <x v="0"/>
    <d v="2022-10-08T00:00:00"/>
    <b v="1"/>
    <b v="0"/>
    <x v="0"/>
    <x v="2"/>
  </r>
  <r>
    <s v="TXN_8466219"/>
    <s v="CUST_25"/>
    <s v="Butchers"/>
    <x v="8"/>
    <n v="27.5"/>
    <n v="4"/>
    <n v="110"/>
    <x v="0"/>
    <x v="1"/>
    <s v="5/15/2022"/>
    <b v="0"/>
    <b v="0"/>
    <x v="0"/>
    <x v="1"/>
  </r>
  <r>
    <s v="TXN_6321123"/>
    <s v="CUST_17"/>
    <s v="Furniture"/>
    <x v="10"/>
    <n v="12.5"/>
    <n v="9"/>
    <n v="112.5"/>
    <x v="1"/>
    <x v="1"/>
    <s v="5/25/2024"/>
    <b v="0"/>
    <b v="0"/>
    <x v="0"/>
    <x v="0"/>
  </r>
  <r>
    <s v="TXN_4825724"/>
    <s v="CUST_01"/>
    <s v="Furniture"/>
    <x v="10"/>
    <n v="39.5"/>
    <n v="1"/>
    <n v="39.5"/>
    <x v="0"/>
    <x v="1"/>
    <s v="12/22/2024"/>
    <b v="0"/>
    <b v="0"/>
    <x v="0"/>
    <x v="2"/>
  </r>
  <r>
    <s v="TXN_9634891"/>
    <s v="CUST_25"/>
    <s v="Computers and electric accessories"/>
    <x v="9"/>
    <n v="29"/>
    <n v="6"/>
    <n v="174"/>
    <x v="1"/>
    <x v="0"/>
    <s v="1/14/2022"/>
    <b v="0"/>
    <b v="0"/>
    <x v="0"/>
    <x v="1"/>
  </r>
  <r>
    <s v="TXN_8935391"/>
    <s v="CUST_16"/>
    <s v="Milk Products"/>
    <x v="7"/>
    <n v="27.5"/>
    <n v="1"/>
    <n v="27.5"/>
    <x v="1"/>
    <x v="0"/>
    <d v="2022-06-09T00:00:00"/>
    <b v="1"/>
    <b v="0"/>
    <x v="0"/>
    <x v="1"/>
  </r>
  <r>
    <s v="TXN_5910508"/>
    <s v="CUST_08"/>
    <s v="Patisserie"/>
    <x v="8"/>
    <n v="15.5"/>
    <n v="10"/>
    <n v="155"/>
    <x v="0"/>
    <x v="1"/>
    <s v="11/15/2022"/>
    <m/>
    <b v="0"/>
    <x v="0"/>
    <x v="0"/>
  </r>
  <r>
    <s v="TXN_6889696"/>
    <s v="CUST_10"/>
    <s v="Electric household essentials"/>
    <x v="8"/>
    <n v="15.5"/>
    <n v="3"/>
    <n v="46.5"/>
    <x v="2"/>
    <x v="0"/>
    <s v="6/20/2023"/>
    <b v="0"/>
    <b v="0"/>
    <x v="0"/>
    <x v="0"/>
  </r>
  <r>
    <s v="TXN_7543333"/>
    <s v="CUST_24"/>
    <s v="Computers and electric accessories"/>
    <x v="12"/>
    <n v="27.5"/>
    <n v="5"/>
    <n v="137.5"/>
    <x v="0"/>
    <x v="1"/>
    <s v="3/28/2022"/>
    <b v="0"/>
    <b v="0"/>
    <x v="0"/>
    <x v="1"/>
  </r>
  <r>
    <s v="TXN_4396240"/>
    <s v="CUST_23"/>
    <s v="Electric household essentials"/>
    <x v="5"/>
    <n v="38"/>
    <n v="9"/>
    <n v="342"/>
    <x v="2"/>
    <x v="0"/>
    <s v="4/28/2024"/>
    <b v="0"/>
    <b v="0"/>
    <x v="0"/>
    <x v="2"/>
  </r>
  <r>
    <s v="TXN_3375368"/>
    <s v="CUST_12"/>
    <s v="Milk Products"/>
    <x v="4"/>
    <n v="20"/>
    <n v="1"/>
    <n v="20"/>
    <x v="0"/>
    <x v="1"/>
    <d v="2022-08-04T00:00:00"/>
    <b v="0"/>
    <b v="0"/>
    <x v="0"/>
    <x v="0"/>
  </r>
  <r>
    <s v="TXN_8827064"/>
    <s v="CUST_02"/>
    <s v="Food"/>
    <x v="10"/>
    <n v="11"/>
    <n v="2"/>
    <n v="22"/>
    <x v="1"/>
    <x v="0"/>
    <d v="2022-10-11T00:00:00"/>
    <m/>
    <b v="0"/>
    <x v="0"/>
    <x v="0"/>
  </r>
  <r>
    <s v="TXN_2975097"/>
    <s v="CUST_02"/>
    <s v="Butchers"/>
    <x v="12"/>
    <n v="36.5"/>
    <n v="7"/>
    <n v="255.5"/>
    <x v="2"/>
    <x v="1"/>
    <d v="2023-12-03T00:00:00"/>
    <b v="1"/>
    <b v="0"/>
    <x v="0"/>
    <x v="2"/>
  </r>
  <r>
    <s v="TXN_9586952"/>
    <s v="CUST_11"/>
    <s v="Computers and electric accessories"/>
    <x v="10"/>
    <n v="14"/>
    <n v="3"/>
    <n v="42"/>
    <x v="0"/>
    <x v="0"/>
    <s v="6/19/2023"/>
    <b v="0"/>
    <b v="0"/>
    <x v="0"/>
    <x v="0"/>
  </r>
  <r>
    <s v="TXN_3575121"/>
    <s v="CUST_17"/>
    <s v="Food"/>
    <x v="5"/>
    <n v="21.5"/>
    <n v="8"/>
    <n v="172"/>
    <x v="2"/>
    <x v="0"/>
    <d v="2022-06-09T00:00:00"/>
    <b v="1"/>
    <b v="0"/>
    <x v="0"/>
    <x v="0"/>
  </r>
  <r>
    <s v="TXN_3686072"/>
    <s v="CUST_03"/>
    <s v="Butchers"/>
    <x v="6"/>
    <n v="35"/>
    <n v="5"/>
    <n v="175"/>
    <x v="1"/>
    <x v="1"/>
    <s v="2/23/2023"/>
    <b v="0"/>
    <b v="0"/>
    <x v="0"/>
    <x v="2"/>
  </r>
  <r>
    <s v="TXN_1745446"/>
    <s v="CUST_02"/>
    <s v="Computers and electric accessories"/>
    <x v="9"/>
    <n v="29"/>
    <n v="1"/>
    <n v="29"/>
    <x v="2"/>
    <x v="0"/>
    <d v="2022-11-12T00:00:00"/>
    <b v="0"/>
    <b v="0"/>
    <x v="0"/>
    <x v="1"/>
  </r>
  <r>
    <s v="TXN_1909877"/>
    <s v="CUST_13"/>
    <s v="Milk Products"/>
    <x v="12"/>
    <n v="32"/>
    <n v="10"/>
    <n v="320"/>
    <x v="2"/>
    <x v="0"/>
    <d v="2024-08-06T00:00:00"/>
    <b v="1"/>
    <b v="0"/>
    <x v="0"/>
    <x v="1"/>
  </r>
  <r>
    <s v="TXN_9007323"/>
    <s v="CUST_12"/>
    <s v="Furniture"/>
    <x v="6"/>
    <n v="15.5"/>
    <n v="9"/>
    <n v="139.5"/>
    <x v="2"/>
    <x v="1"/>
    <d v="2022-08-05T00:00:00"/>
    <m/>
    <b v="0"/>
    <x v="0"/>
    <x v="0"/>
  </r>
  <r>
    <s v="TXN_8629942"/>
    <s v="CUST_20"/>
    <s v="Beverages"/>
    <x v="9"/>
    <n v="39.5"/>
    <n v="4"/>
    <n v="158"/>
    <x v="2"/>
    <x v="1"/>
    <d v="2024-08-12T00:00:00"/>
    <b v="1"/>
    <b v="0"/>
    <x v="0"/>
    <x v="2"/>
  </r>
  <r>
    <s v="TXN_6357302"/>
    <s v="CUST_20"/>
    <s v="Beverages"/>
    <x v="12"/>
    <n v="26"/>
    <n v="1"/>
    <n v="26"/>
    <x v="1"/>
    <x v="1"/>
    <d v="2022-09-09T00:00:00"/>
    <b v="0"/>
    <b v="0"/>
    <x v="0"/>
    <x v="1"/>
  </r>
  <r>
    <s v="TXN_8755760"/>
    <s v="CUST_10"/>
    <s v="Milk Products"/>
    <x v="5"/>
    <n v="23"/>
    <n v="9"/>
    <n v="207"/>
    <x v="0"/>
    <x v="1"/>
    <s v="10/22/2024"/>
    <b v="0"/>
    <b v="0"/>
    <x v="0"/>
    <x v="0"/>
  </r>
  <r>
    <s v="TXN_5750056"/>
    <s v="CUST_24"/>
    <s v="Furniture"/>
    <x v="8"/>
    <n v="35"/>
    <n v="2"/>
    <n v="70"/>
    <x v="0"/>
    <x v="1"/>
    <s v="9/20/2023"/>
    <b v="0"/>
    <b v="0"/>
    <x v="0"/>
    <x v="2"/>
  </r>
  <r>
    <s v="TXN_7435444"/>
    <s v="CUST_18"/>
    <s v="Computers and electric accessories"/>
    <x v="11"/>
    <n v="20"/>
    <n v="6"/>
    <n v="120"/>
    <x v="1"/>
    <x v="0"/>
    <s v="7/27/2022"/>
    <b v="0"/>
    <b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85957-86C7-4759-9F0B-79631AC889C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 rowPageCount="1" colPageCount="1"/>
  <pivotFields count="14">
    <pivotField showAll="0"/>
    <pivotField showAll="0"/>
    <pivotField showAll="0"/>
    <pivotField axis="axisRow" showAll="0" measureFilter="1">
      <items count="14">
        <item x="11"/>
        <item x="9"/>
        <item x="12"/>
        <item x="10"/>
        <item x="6"/>
        <item x="8"/>
        <item x="5"/>
        <item x="4"/>
        <item x="0"/>
        <item x="2"/>
        <item x="1"/>
        <item x="3"/>
        <item x="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</pivotFields>
  <rowFields count="1">
    <field x="3"/>
  </rowFields>
  <rowItems count="6">
    <i>
      <x v="1"/>
    </i>
    <i>
      <x v="2"/>
    </i>
    <i>
      <x v="4"/>
    </i>
    <i>
      <x v="5"/>
    </i>
    <i>
      <x v="7"/>
    </i>
    <i t="grand">
      <x/>
    </i>
  </rowItems>
  <colItems count="1">
    <i/>
  </colItems>
  <pageFields count="1">
    <pageField fld="13" item="2" hier="-1"/>
  </pageFields>
  <dataFields count="1">
    <dataField name="Sum of Total Spen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869F59-67E4-414B-927F-4C809E7481A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7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4">
        <item x="2"/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Total Spent" fld="6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35812-2087-4711-88B2-B041F99EB9C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pent" fld="6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80B6DA-C702-4287-8314-F6197C6CA799}" name="Table1" displayName="Table1" ref="A1:M618" totalsRowShown="0" headerRowDxfId="16" headerRowBorderDxfId="15" tableBorderDxfId="14" totalsRowBorderDxfId="13">
  <autoFilter ref="A1:M618" xr:uid="{3580B6DA-C702-4287-8314-F6197C6CA799}"/>
  <tableColumns count="13">
    <tableColumn id="1" xr3:uid="{3B003F73-470D-4354-84A2-45A4B581BCD0}" name="Transaction ID" dataDxfId="12"/>
    <tableColumn id="2" xr3:uid="{7B9DD1C5-B99A-4650-818E-89FE4C4AFC77}" name="Customer ID" dataDxfId="11"/>
    <tableColumn id="3" xr3:uid="{EA19F7DC-5159-456D-880D-8F0C676BAB9A}" name="Category" dataDxfId="10"/>
    <tableColumn id="4" xr3:uid="{EE89645A-6F3A-4BDC-BFA8-060A8A44EA78}" name="Item" dataDxfId="9"/>
    <tableColumn id="5" xr3:uid="{2C5323D9-0A39-4469-AD98-AF55C15051EE}" name="Price Per Unit" dataDxfId="8"/>
    <tableColumn id="6" xr3:uid="{8545A7C7-8AD5-4C80-B431-6EB4D404680C}" name="Quantity" dataDxfId="7"/>
    <tableColumn id="7" xr3:uid="{9C46A366-2F39-485F-9091-6FB4E04FB15B}" name="Total Spent" dataDxfId="6"/>
    <tableColumn id="8" xr3:uid="{23DA154C-9C7C-473D-99F1-9E6F17A8B54A}" name="Payment Method" dataDxfId="5"/>
    <tableColumn id="9" xr3:uid="{B085B1C3-0180-4A5A-A489-8557F86FD669}" name="Location" dataDxfId="4"/>
    <tableColumn id="10" xr3:uid="{F312A8DE-C85A-4382-96A7-84DC91ECFE38}" name="Transaction Date" dataDxfId="3"/>
    <tableColumn id="14" xr3:uid="{5BD7613D-D5E8-4C4D-802A-042701D0FA39}" name="Discount Applied" dataDxfId="2">
      <calculatedColumnFormula>IF(ROUND(E2*F2,2)=G2,FALSE,TRUE)</calculatedColumnFormula>
    </tableColumn>
    <tableColumn id="13" xr3:uid="{5903CF94-4C6B-40A8-8AEF-4697FFD86CDA}" name="Check Discount Clean" dataDxfId="1">
      <calculatedColumnFormula>IF(K2=FALSE,"No Discount","Discount Applied")</calculatedColumnFormula>
    </tableColumn>
    <tableColumn id="12" xr3:uid="{0C42E0F5-5B5A-4869-AA8B-B530600207E0}" name="Unit price Category" dataDxfId="0">
      <calculatedColumnFormula>IF(E2&gt;=35,"High Profit",IF(E2&gt;=25,"Medium","Loss"))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8CC9-77BA-427D-BC1F-84BA690A2205}">
  <dimension ref="A1:L650"/>
  <sheetViews>
    <sheetView workbookViewId="0">
      <selection activeCell="E1" sqref="E1"/>
    </sheetView>
  </sheetViews>
  <sheetFormatPr defaultColWidth="14.85546875" defaultRowHeight="15" x14ac:dyDescent="0.25"/>
  <sheetData>
    <row r="1" spans="1:12" ht="45.75" thickBot="1" x14ac:dyDescent="0.3">
      <c r="A1" s="1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</row>
    <row r="2" spans="1:12" ht="30.75" thickBot="1" x14ac:dyDescent="0.3">
      <c r="A2" s="4" t="s">
        <v>11</v>
      </c>
      <c r="B2" s="5" t="s">
        <v>12</v>
      </c>
      <c r="C2" s="5" t="s">
        <v>13</v>
      </c>
      <c r="D2" s="5" t="s">
        <v>14</v>
      </c>
      <c r="E2" s="6">
        <v>18.5</v>
      </c>
      <c r="F2" s="6">
        <v>10</v>
      </c>
      <c r="G2" s="6">
        <v>185</v>
      </c>
      <c r="H2" s="5" t="s">
        <v>15</v>
      </c>
      <c r="I2" s="5" t="s">
        <v>16</v>
      </c>
      <c r="J2" s="7">
        <v>45508</v>
      </c>
      <c r="K2" s="8" t="b">
        <v>1</v>
      </c>
      <c r="L2" s="9" t="s">
        <v>17</v>
      </c>
    </row>
    <row r="3" spans="1:12" ht="30.75" thickBot="1" x14ac:dyDescent="0.3">
      <c r="A3" s="10" t="s">
        <v>18</v>
      </c>
      <c r="B3" s="11" t="s">
        <v>19</v>
      </c>
      <c r="C3" s="11" t="s">
        <v>20</v>
      </c>
      <c r="D3" s="11" t="s">
        <v>21</v>
      </c>
      <c r="E3" s="12">
        <v>29</v>
      </c>
      <c r="F3" s="12">
        <v>9</v>
      </c>
      <c r="G3" s="12">
        <v>261</v>
      </c>
      <c r="H3" s="11" t="s">
        <v>15</v>
      </c>
      <c r="I3" s="11" t="s">
        <v>16</v>
      </c>
      <c r="J3" s="12" t="s">
        <v>22</v>
      </c>
      <c r="K3" s="13" t="b">
        <v>1</v>
      </c>
      <c r="L3" s="14" t="s">
        <v>17</v>
      </c>
    </row>
    <row r="4" spans="1:12" ht="30.75" thickBot="1" x14ac:dyDescent="0.3">
      <c r="A4" s="4" t="s">
        <v>23</v>
      </c>
      <c r="B4" s="5" t="s">
        <v>24</v>
      </c>
      <c r="C4" s="5" t="s">
        <v>25</v>
      </c>
      <c r="D4" s="5" t="s">
        <v>26</v>
      </c>
      <c r="E4" s="6">
        <v>27.5</v>
      </c>
      <c r="F4" s="6">
        <v>9</v>
      </c>
      <c r="G4" s="6">
        <v>247.5</v>
      </c>
      <c r="H4" s="5" t="s">
        <v>27</v>
      </c>
      <c r="I4" s="5" t="s">
        <v>16</v>
      </c>
      <c r="J4" s="7">
        <v>44747</v>
      </c>
      <c r="K4" s="5"/>
      <c r="L4" s="9" t="s">
        <v>17</v>
      </c>
    </row>
    <row r="5" spans="1:12" ht="30.75" thickBot="1" x14ac:dyDescent="0.3">
      <c r="A5" s="10" t="s">
        <v>28</v>
      </c>
      <c r="B5" s="11" t="s">
        <v>29</v>
      </c>
      <c r="C5" s="11" t="s">
        <v>30</v>
      </c>
      <c r="D5" s="11" t="s">
        <v>31</v>
      </c>
      <c r="E5" s="12">
        <v>12.5</v>
      </c>
      <c r="F5" s="12">
        <v>7</v>
      </c>
      <c r="G5" s="12">
        <v>87.5</v>
      </c>
      <c r="H5" s="11" t="s">
        <v>15</v>
      </c>
      <c r="I5" s="11" t="s">
        <v>16</v>
      </c>
      <c r="J5" s="15">
        <v>44602</v>
      </c>
      <c r="K5" s="13" t="b">
        <v>0</v>
      </c>
      <c r="L5" s="14" t="s">
        <v>32</v>
      </c>
    </row>
    <row r="6" spans="1:12" ht="30.75" thickBot="1" x14ac:dyDescent="0.3">
      <c r="A6" s="4" t="s">
        <v>33</v>
      </c>
      <c r="B6" s="5" t="s">
        <v>12</v>
      </c>
      <c r="C6" s="5" t="s">
        <v>13</v>
      </c>
      <c r="D6" s="5"/>
      <c r="E6" s="5"/>
      <c r="F6" s="6">
        <v>10</v>
      </c>
      <c r="G6" s="6">
        <v>200</v>
      </c>
      <c r="H6" s="5" t="s">
        <v>27</v>
      </c>
      <c r="I6" s="5" t="s">
        <v>16</v>
      </c>
      <c r="J6" s="6" t="s">
        <v>34</v>
      </c>
      <c r="K6" s="5"/>
      <c r="L6" s="9" t="s">
        <v>35</v>
      </c>
    </row>
    <row r="7" spans="1:12" ht="30.75" thickBot="1" x14ac:dyDescent="0.3">
      <c r="A7" s="10" t="s">
        <v>36</v>
      </c>
      <c r="B7" s="11" t="s">
        <v>37</v>
      </c>
      <c r="C7" s="11" t="s">
        <v>30</v>
      </c>
      <c r="D7" s="11" t="s">
        <v>38</v>
      </c>
      <c r="E7" s="12">
        <v>5</v>
      </c>
      <c r="F7" s="12">
        <v>8</v>
      </c>
      <c r="G7" s="12">
        <v>40</v>
      </c>
      <c r="H7" s="11" t="s">
        <v>27</v>
      </c>
      <c r="I7" s="11" t="s">
        <v>39</v>
      </c>
      <c r="J7" s="15">
        <v>45205</v>
      </c>
      <c r="K7" s="13" t="b">
        <v>1</v>
      </c>
      <c r="L7" s="14" t="s">
        <v>32</v>
      </c>
    </row>
    <row r="8" spans="1:12" ht="30.75" thickBot="1" x14ac:dyDescent="0.3">
      <c r="A8" s="4" t="s">
        <v>40</v>
      </c>
      <c r="B8" s="5" t="s">
        <v>41</v>
      </c>
      <c r="C8" s="5" t="s">
        <v>42</v>
      </c>
      <c r="D8" s="5"/>
      <c r="E8" s="6">
        <v>33.5</v>
      </c>
      <c r="F8" s="5"/>
      <c r="G8" s="5"/>
      <c r="H8" s="5" t="s">
        <v>15</v>
      </c>
      <c r="I8" s="5" t="s">
        <v>39</v>
      </c>
      <c r="J8" s="7">
        <v>45326</v>
      </c>
      <c r="K8" s="8" t="b">
        <v>1</v>
      </c>
      <c r="L8" s="9" t="s">
        <v>32</v>
      </c>
    </row>
    <row r="9" spans="1:12" ht="15.75" thickBot="1" x14ac:dyDescent="0.3">
      <c r="A9" s="10" t="s">
        <v>43</v>
      </c>
      <c r="B9" s="11" t="s">
        <v>44</v>
      </c>
      <c r="C9" s="11" t="s">
        <v>42</v>
      </c>
      <c r="D9" s="11" t="s">
        <v>45</v>
      </c>
      <c r="E9" s="12">
        <v>27.5</v>
      </c>
      <c r="F9" s="12">
        <v>1</v>
      </c>
      <c r="G9" s="12">
        <v>27.5</v>
      </c>
      <c r="H9" s="11" t="s">
        <v>27</v>
      </c>
      <c r="I9" s="11" t="s">
        <v>39</v>
      </c>
      <c r="J9" s="12" t="s">
        <v>46</v>
      </c>
      <c r="K9" s="13" t="b">
        <v>0</v>
      </c>
      <c r="L9" s="14" t="s">
        <v>32</v>
      </c>
    </row>
    <row r="10" spans="1:12" ht="15.75" thickBot="1" x14ac:dyDescent="0.3">
      <c r="A10" s="4" t="s">
        <v>47</v>
      </c>
      <c r="B10" s="5" t="s">
        <v>48</v>
      </c>
      <c r="C10" s="5" t="s">
        <v>49</v>
      </c>
      <c r="D10" s="5" t="s">
        <v>50</v>
      </c>
      <c r="E10" s="6">
        <v>36.5</v>
      </c>
      <c r="F10" s="6">
        <v>3</v>
      </c>
      <c r="G10" s="6">
        <v>109.5</v>
      </c>
      <c r="H10" s="5" t="s">
        <v>51</v>
      </c>
      <c r="I10" s="5" t="s">
        <v>16</v>
      </c>
      <c r="J10" s="6" t="s">
        <v>52</v>
      </c>
      <c r="K10" s="8" t="b">
        <v>0</v>
      </c>
      <c r="L10" s="9" t="s">
        <v>35</v>
      </c>
    </row>
    <row r="11" spans="1:12" ht="15.75" thickBot="1" x14ac:dyDescent="0.3">
      <c r="A11" s="10" t="s">
        <v>53</v>
      </c>
      <c r="B11" s="11" t="s">
        <v>19</v>
      </c>
      <c r="C11" s="11" t="s">
        <v>49</v>
      </c>
      <c r="D11" s="11" t="s">
        <v>54</v>
      </c>
      <c r="E11" s="12">
        <v>8</v>
      </c>
      <c r="F11" s="12">
        <v>9</v>
      </c>
      <c r="G11" s="12">
        <v>72</v>
      </c>
      <c r="H11" s="11" t="s">
        <v>51</v>
      </c>
      <c r="I11" s="11" t="s">
        <v>39</v>
      </c>
      <c r="J11" s="12" t="s">
        <v>55</v>
      </c>
      <c r="K11" s="13" t="b">
        <v>1</v>
      </c>
      <c r="L11" s="14" t="s">
        <v>32</v>
      </c>
    </row>
    <row r="12" spans="1:12" ht="15.75" thickBot="1" x14ac:dyDescent="0.3">
      <c r="A12" s="4" t="s">
        <v>56</v>
      </c>
      <c r="B12" s="5" t="s">
        <v>12</v>
      </c>
      <c r="C12" s="5" t="s">
        <v>20</v>
      </c>
      <c r="D12" s="5"/>
      <c r="E12" s="5"/>
      <c r="F12" s="6">
        <v>8</v>
      </c>
      <c r="G12" s="6">
        <v>52</v>
      </c>
      <c r="H12" s="5" t="s">
        <v>15</v>
      </c>
      <c r="I12" s="5" t="s">
        <v>39</v>
      </c>
      <c r="J12" s="7">
        <v>45992</v>
      </c>
      <c r="K12" s="8" t="b">
        <v>1</v>
      </c>
      <c r="L12" s="9" t="s">
        <v>32</v>
      </c>
    </row>
    <row r="13" spans="1:12" ht="15.75" thickBot="1" x14ac:dyDescent="0.3">
      <c r="A13" s="10" t="s">
        <v>57</v>
      </c>
      <c r="B13" s="11" t="s">
        <v>44</v>
      </c>
      <c r="C13" s="11" t="s">
        <v>30</v>
      </c>
      <c r="D13" s="11" t="s">
        <v>58</v>
      </c>
      <c r="E13" s="12">
        <v>6.5</v>
      </c>
      <c r="F13" s="12">
        <v>7</v>
      </c>
      <c r="G13" s="12">
        <v>45.5</v>
      </c>
      <c r="H13" s="11" t="s">
        <v>51</v>
      </c>
      <c r="I13" s="11" t="s">
        <v>16</v>
      </c>
      <c r="J13" s="15">
        <v>45178</v>
      </c>
      <c r="K13" s="13" t="b">
        <v>1</v>
      </c>
      <c r="L13" s="14" t="s">
        <v>32</v>
      </c>
    </row>
    <row r="14" spans="1:12" ht="15.75" thickBot="1" x14ac:dyDescent="0.3">
      <c r="A14" s="4" t="s">
        <v>59</v>
      </c>
      <c r="B14" s="5" t="s">
        <v>60</v>
      </c>
      <c r="C14" s="5" t="s">
        <v>13</v>
      </c>
      <c r="D14" s="5" t="s">
        <v>61</v>
      </c>
      <c r="E14" s="6">
        <v>39.5</v>
      </c>
      <c r="F14" s="6">
        <v>6</v>
      </c>
      <c r="G14" s="6">
        <v>237</v>
      </c>
      <c r="H14" s="5" t="s">
        <v>15</v>
      </c>
      <c r="I14" s="5" t="s">
        <v>39</v>
      </c>
      <c r="J14" s="6" t="s">
        <v>62</v>
      </c>
      <c r="K14" s="8" t="b">
        <v>0</v>
      </c>
      <c r="L14" s="9" t="s">
        <v>17</v>
      </c>
    </row>
    <row r="15" spans="1:12" ht="15.75" thickBot="1" x14ac:dyDescent="0.3">
      <c r="A15" s="10" t="s">
        <v>63</v>
      </c>
      <c r="B15" s="11" t="s">
        <v>12</v>
      </c>
      <c r="C15" s="11" t="s">
        <v>20</v>
      </c>
      <c r="D15" s="11" t="s">
        <v>64</v>
      </c>
      <c r="E15" s="12">
        <v>27.5</v>
      </c>
      <c r="F15" s="12">
        <v>2</v>
      </c>
      <c r="G15" s="12">
        <v>55</v>
      </c>
      <c r="H15" s="11" t="s">
        <v>15</v>
      </c>
      <c r="I15" s="11" t="s">
        <v>16</v>
      </c>
      <c r="J15" s="12" t="s">
        <v>65</v>
      </c>
      <c r="K15" s="11"/>
      <c r="L15" s="14" t="s">
        <v>32</v>
      </c>
    </row>
    <row r="16" spans="1:12" ht="15.75" thickBot="1" x14ac:dyDescent="0.3">
      <c r="A16" s="4" t="s">
        <v>66</v>
      </c>
      <c r="B16" s="5" t="s">
        <v>60</v>
      </c>
      <c r="C16" s="5" t="s">
        <v>25</v>
      </c>
      <c r="D16" s="5"/>
      <c r="E16" s="6">
        <v>24.5</v>
      </c>
      <c r="F16" s="5"/>
      <c r="G16" s="5"/>
      <c r="H16" s="5" t="s">
        <v>27</v>
      </c>
      <c r="I16" s="5" t="s">
        <v>39</v>
      </c>
      <c r="J16" s="7">
        <v>44870</v>
      </c>
      <c r="K16" s="5"/>
      <c r="L16" s="9" t="s">
        <v>32</v>
      </c>
    </row>
    <row r="17" spans="1:12" ht="15.75" thickBot="1" x14ac:dyDescent="0.3">
      <c r="A17" s="10" t="s">
        <v>67</v>
      </c>
      <c r="B17" s="11" t="s">
        <v>44</v>
      </c>
      <c r="C17" s="11" t="s">
        <v>13</v>
      </c>
      <c r="D17" s="11" t="s">
        <v>68</v>
      </c>
      <c r="E17" s="12">
        <v>29</v>
      </c>
      <c r="F17" s="12">
        <v>8</v>
      </c>
      <c r="G17" s="12">
        <v>232</v>
      </c>
      <c r="H17" s="11" t="s">
        <v>51</v>
      </c>
      <c r="I17" s="11" t="s">
        <v>16</v>
      </c>
      <c r="J17" s="12" t="s">
        <v>69</v>
      </c>
      <c r="K17" s="13" t="b">
        <v>1</v>
      </c>
      <c r="L17" s="14" t="s">
        <v>17</v>
      </c>
    </row>
    <row r="18" spans="1:12" ht="15.75" thickBot="1" x14ac:dyDescent="0.3">
      <c r="A18" s="4" t="s">
        <v>70</v>
      </c>
      <c r="B18" s="5" t="s">
        <v>71</v>
      </c>
      <c r="C18" s="5" t="s">
        <v>20</v>
      </c>
      <c r="D18" s="5"/>
      <c r="E18" s="5"/>
      <c r="F18" s="6">
        <v>10</v>
      </c>
      <c r="G18" s="6">
        <v>275</v>
      </c>
      <c r="H18" s="5" t="s">
        <v>15</v>
      </c>
      <c r="I18" s="5" t="s">
        <v>16</v>
      </c>
      <c r="J18" s="6" t="s">
        <v>72</v>
      </c>
      <c r="K18" s="5"/>
      <c r="L18" s="9" t="s">
        <v>17</v>
      </c>
    </row>
    <row r="19" spans="1:12" ht="45.75" thickBot="1" x14ac:dyDescent="0.3">
      <c r="A19" s="10" t="s">
        <v>73</v>
      </c>
      <c r="B19" s="11" t="s">
        <v>74</v>
      </c>
      <c r="C19" s="11" t="s">
        <v>75</v>
      </c>
      <c r="D19" s="11" t="s">
        <v>76</v>
      </c>
      <c r="E19" s="12">
        <v>23</v>
      </c>
      <c r="F19" s="12">
        <v>1</v>
      </c>
      <c r="G19" s="12">
        <v>23</v>
      </c>
      <c r="H19" s="11" t="s">
        <v>15</v>
      </c>
      <c r="I19" s="11" t="s">
        <v>39</v>
      </c>
      <c r="J19" s="15">
        <v>44744</v>
      </c>
      <c r="K19" s="13" t="b">
        <v>0</v>
      </c>
      <c r="L19" s="14" t="s">
        <v>32</v>
      </c>
    </row>
    <row r="20" spans="1:12" ht="15.75" thickBot="1" x14ac:dyDescent="0.3">
      <c r="A20" s="4" t="s">
        <v>77</v>
      </c>
      <c r="B20" s="5" t="s">
        <v>78</v>
      </c>
      <c r="C20" s="5" t="s">
        <v>42</v>
      </c>
      <c r="D20" s="5"/>
      <c r="E20" s="6">
        <v>35</v>
      </c>
      <c r="F20" s="5"/>
      <c r="G20" s="5"/>
      <c r="H20" s="5" t="s">
        <v>15</v>
      </c>
      <c r="I20" s="5" t="s">
        <v>16</v>
      </c>
      <c r="J20" s="6" t="s">
        <v>79</v>
      </c>
      <c r="K20" s="8" t="b">
        <v>0</v>
      </c>
      <c r="L20" s="9" t="s">
        <v>32</v>
      </c>
    </row>
    <row r="21" spans="1:12" ht="15.75" thickBot="1" x14ac:dyDescent="0.3">
      <c r="A21" s="10" t="s">
        <v>80</v>
      </c>
      <c r="B21" s="11" t="s">
        <v>60</v>
      </c>
      <c r="C21" s="11" t="s">
        <v>25</v>
      </c>
      <c r="D21" s="11" t="s">
        <v>81</v>
      </c>
      <c r="E21" s="12">
        <v>14</v>
      </c>
      <c r="F21" s="12">
        <v>9</v>
      </c>
      <c r="G21" s="12">
        <v>126</v>
      </c>
      <c r="H21" s="11" t="s">
        <v>15</v>
      </c>
      <c r="I21" s="11" t="s">
        <v>39</v>
      </c>
      <c r="J21" s="12" t="s">
        <v>82</v>
      </c>
      <c r="K21" s="11"/>
      <c r="L21" s="14" t="s">
        <v>35</v>
      </c>
    </row>
    <row r="22" spans="1:12" ht="15.75" thickBot="1" x14ac:dyDescent="0.3">
      <c r="A22" s="4" t="s">
        <v>83</v>
      </c>
      <c r="B22" s="5" t="s">
        <v>71</v>
      </c>
      <c r="C22" s="5" t="s">
        <v>20</v>
      </c>
      <c r="D22" s="5"/>
      <c r="E22" s="5"/>
      <c r="F22" s="6">
        <v>3</v>
      </c>
      <c r="G22" s="6">
        <v>105</v>
      </c>
      <c r="H22" s="5" t="s">
        <v>27</v>
      </c>
      <c r="I22" s="5" t="s">
        <v>39</v>
      </c>
      <c r="J22" s="6" t="s">
        <v>84</v>
      </c>
      <c r="K22" s="5"/>
      <c r="L22" s="9" t="s">
        <v>35</v>
      </c>
    </row>
    <row r="23" spans="1:12" ht="45.75" thickBot="1" x14ac:dyDescent="0.3">
      <c r="A23" s="10" t="s">
        <v>85</v>
      </c>
      <c r="B23" s="11" t="s">
        <v>86</v>
      </c>
      <c r="C23" s="11" t="s">
        <v>75</v>
      </c>
      <c r="D23" s="11" t="s">
        <v>87</v>
      </c>
      <c r="E23" s="12">
        <v>9.5</v>
      </c>
      <c r="F23" s="12">
        <v>7</v>
      </c>
      <c r="G23" s="12">
        <v>66.5</v>
      </c>
      <c r="H23" s="11" t="s">
        <v>51</v>
      </c>
      <c r="I23" s="11" t="s">
        <v>39</v>
      </c>
      <c r="J23" s="12" t="s">
        <v>88</v>
      </c>
      <c r="K23" s="11"/>
      <c r="L23" s="14" t="s">
        <v>32</v>
      </c>
    </row>
    <row r="24" spans="1:12" ht="15.75" thickBot="1" x14ac:dyDescent="0.3">
      <c r="A24" s="4" t="s">
        <v>89</v>
      </c>
      <c r="B24" s="5" t="s">
        <v>90</v>
      </c>
      <c r="C24" s="5" t="s">
        <v>30</v>
      </c>
      <c r="D24" s="5" t="s">
        <v>91</v>
      </c>
      <c r="E24" s="6">
        <v>18.5</v>
      </c>
      <c r="F24" s="6">
        <v>1</v>
      </c>
      <c r="G24" s="6">
        <v>18.5</v>
      </c>
      <c r="H24" s="5" t="s">
        <v>51</v>
      </c>
      <c r="I24" s="5" t="s">
        <v>16</v>
      </c>
      <c r="J24" s="6" t="s">
        <v>92</v>
      </c>
      <c r="K24" s="8" t="b">
        <v>0</v>
      </c>
      <c r="L24" s="9" t="s">
        <v>32</v>
      </c>
    </row>
    <row r="25" spans="1:12" ht="15.75" thickBot="1" x14ac:dyDescent="0.3">
      <c r="A25" s="10" t="s">
        <v>93</v>
      </c>
      <c r="B25" s="11" t="s">
        <v>94</v>
      </c>
      <c r="C25" s="11" t="s">
        <v>42</v>
      </c>
      <c r="D25" s="11" t="s">
        <v>95</v>
      </c>
      <c r="E25" s="12">
        <v>24.5</v>
      </c>
      <c r="F25" s="12">
        <v>2</v>
      </c>
      <c r="G25" s="12">
        <v>49</v>
      </c>
      <c r="H25" s="11" t="s">
        <v>51</v>
      </c>
      <c r="I25" s="11" t="s">
        <v>16</v>
      </c>
      <c r="J25" s="12" t="s">
        <v>96</v>
      </c>
      <c r="K25" s="13" t="b">
        <v>0</v>
      </c>
      <c r="L25" s="14" t="s">
        <v>32</v>
      </c>
    </row>
    <row r="26" spans="1:12" ht="15.75" thickBot="1" x14ac:dyDescent="0.3">
      <c r="A26" s="4" t="s">
        <v>97</v>
      </c>
      <c r="B26" s="5" t="s">
        <v>29</v>
      </c>
      <c r="C26" s="5" t="s">
        <v>42</v>
      </c>
      <c r="D26" s="5"/>
      <c r="E26" s="6">
        <v>39.5</v>
      </c>
      <c r="F26" s="5"/>
      <c r="G26" s="5"/>
      <c r="H26" s="5" t="s">
        <v>51</v>
      </c>
      <c r="I26" s="5" t="s">
        <v>16</v>
      </c>
      <c r="J26" s="7">
        <v>44782</v>
      </c>
      <c r="K26" s="8" t="b">
        <v>0</v>
      </c>
      <c r="L26" s="9" t="s">
        <v>32</v>
      </c>
    </row>
    <row r="27" spans="1:12" ht="15.75" thickBot="1" x14ac:dyDescent="0.3">
      <c r="A27" s="10" t="s">
        <v>98</v>
      </c>
      <c r="B27" s="11" t="s">
        <v>99</v>
      </c>
      <c r="C27" s="11" t="s">
        <v>49</v>
      </c>
      <c r="D27" s="11" t="s">
        <v>100</v>
      </c>
      <c r="E27" s="12">
        <v>33.5</v>
      </c>
      <c r="F27" s="12">
        <v>4</v>
      </c>
      <c r="G27" s="12">
        <v>134</v>
      </c>
      <c r="H27" s="11" t="s">
        <v>27</v>
      </c>
      <c r="I27" s="11" t="s">
        <v>39</v>
      </c>
      <c r="J27" s="12" t="s">
        <v>101</v>
      </c>
      <c r="K27" s="13" t="b">
        <v>1</v>
      </c>
      <c r="L27" s="14" t="s">
        <v>35</v>
      </c>
    </row>
    <row r="28" spans="1:12" ht="15.75" thickBot="1" x14ac:dyDescent="0.3">
      <c r="A28" s="4" t="s">
        <v>102</v>
      </c>
      <c r="B28" s="5" t="s">
        <v>60</v>
      </c>
      <c r="C28" s="5" t="s">
        <v>42</v>
      </c>
      <c r="D28" s="5" t="s">
        <v>103</v>
      </c>
      <c r="E28" s="6">
        <v>41</v>
      </c>
      <c r="F28" s="6">
        <v>10</v>
      </c>
      <c r="G28" s="6">
        <v>410</v>
      </c>
      <c r="H28" s="5" t="s">
        <v>27</v>
      </c>
      <c r="I28" s="5" t="s">
        <v>39</v>
      </c>
      <c r="J28" s="6" t="s">
        <v>104</v>
      </c>
      <c r="K28" s="8" t="b">
        <v>1</v>
      </c>
      <c r="L28" s="9" t="s">
        <v>17</v>
      </c>
    </row>
    <row r="29" spans="1:12" ht="15.75" thickBot="1" x14ac:dyDescent="0.3">
      <c r="A29" s="10" t="s">
        <v>105</v>
      </c>
      <c r="B29" s="11" t="s">
        <v>106</v>
      </c>
      <c r="C29" s="11" t="s">
        <v>30</v>
      </c>
      <c r="D29" s="11" t="s">
        <v>107</v>
      </c>
      <c r="E29" s="12">
        <v>24.5</v>
      </c>
      <c r="F29" s="12">
        <v>10</v>
      </c>
      <c r="G29" s="12">
        <v>245</v>
      </c>
      <c r="H29" s="11" t="s">
        <v>51</v>
      </c>
      <c r="I29" s="11" t="s">
        <v>39</v>
      </c>
      <c r="J29" s="12" t="s">
        <v>108</v>
      </c>
      <c r="K29" s="13" t="b">
        <v>1</v>
      </c>
      <c r="L29" s="14" t="s">
        <v>17</v>
      </c>
    </row>
    <row r="30" spans="1:12" ht="15.75" thickBot="1" x14ac:dyDescent="0.3">
      <c r="A30" s="4" t="s">
        <v>109</v>
      </c>
      <c r="B30" s="5" t="s">
        <v>99</v>
      </c>
      <c r="C30" s="5" t="s">
        <v>13</v>
      </c>
      <c r="D30" s="5" t="s">
        <v>110</v>
      </c>
      <c r="E30" s="6">
        <v>36.5</v>
      </c>
      <c r="F30" s="6">
        <v>5</v>
      </c>
      <c r="G30" s="6">
        <v>182.5</v>
      </c>
      <c r="H30" s="5" t="s">
        <v>27</v>
      </c>
      <c r="I30" s="5" t="s">
        <v>39</v>
      </c>
      <c r="J30" s="7">
        <v>44837</v>
      </c>
      <c r="K30" s="8" t="b">
        <v>0</v>
      </c>
      <c r="L30" s="9" t="s">
        <v>35</v>
      </c>
    </row>
    <row r="31" spans="1:12" ht="15.75" thickBot="1" x14ac:dyDescent="0.3">
      <c r="A31" s="10" t="s">
        <v>111</v>
      </c>
      <c r="B31" s="11" t="s">
        <v>29</v>
      </c>
      <c r="C31" s="11" t="s">
        <v>30</v>
      </c>
      <c r="D31" s="11" t="s">
        <v>112</v>
      </c>
      <c r="E31" s="12">
        <v>20</v>
      </c>
      <c r="F31" s="12">
        <v>10</v>
      </c>
      <c r="G31" s="12">
        <v>200</v>
      </c>
      <c r="H31" s="11" t="s">
        <v>15</v>
      </c>
      <c r="I31" s="11" t="s">
        <v>16</v>
      </c>
      <c r="J31" s="12" t="s">
        <v>113</v>
      </c>
      <c r="K31" s="13" t="b">
        <v>0</v>
      </c>
      <c r="L31" s="14" t="s">
        <v>35</v>
      </c>
    </row>
    <row r="32" spans="1:12" ht="15.75" thickBot="1" x14ac:dyDescent="0.3">
      <c r="A32" s="4" t="s">
        <v>114</v>
      </c>
      <c r="B32" s="5" t="s">
        <v>19</v>
      </c>
      <c r="C32" s="5" t="s">
        <v>13</v>
      </c>
      <c r="D32" s="5" t="s">
        <v>115</v>
      </c>
      <c r="E32" s="6">
        <v>12.5</v>
      </c>
      <c r="F32" s="6">
        <v>8</v>
      </c>
      <c r="G32" s="6">
        <v>100</v>
      </c>
      <c r="H32" s="5" t="s">
        <v>27</v>
      </c>
      <c r="I32" s="5" t="s">
        <v>16</v>
      </c>
      <c r="J32" s="7">
        <v>44685</v>
      </c>
      <c r="K32" s="8" t="b">
        <v>1</v>
      </c>
      <c r="L32" s="9" t="s">
        <v>32</v>
      </c>
    </row>
    <row r="33" spans="1:12" ht="15.75" thickBot="1" x14ac:dyDescent="0.3">
      <c r="A33" s="10" t="s">
        <v>116</v>
      </c>
      <c r="B33" s="11" t="s">
        <v>117</v>
      </c>
      <c r="C33" s="11" t="s">
        <v>30</v>
      </c>
      <c r="D33" s="11"/>
      <c r="E33" s="11"/>
      <c r="F33" s="12">
        <v>8</v>
      </c>
      <c r="G33" s="12">
        <v>196</v>
      </c>
      <c r="H33" s="11" t="s">
        <v>27</v>
      </c>
      <c r="I33" s="11" t="s">
        <v>16</v>
      </c>
      <c r="J33" s="12" t="s">
        <v>118</v>
      </c>
      <c r="K33" s="13" t="b">
        <v>1</v>
      </c>
      <c r="L33" s="14" t="s">
        <v>35</v>
      </c>
    </row>
    <row r="34" spans="1:12" ht="45.75" thickBot="1" x14ac:dyDescent="0.3">
      <c r="A34" s="4" t="s">
        <v>119</v>
      </c>
      <c r="B34" s="5" t="s">
        <v>120</v>
      </c>
      <c r="C34" s="5" t="s">
        <v>75</v>
      </c>
      <c r="D34" s="5" t="s">
        <v>121</v>
      </c>
      <c r="E34" s="6">
        <v>35</v>
      </c>
      <c r="F34" s="6">
        <v>9</v>
      </c>
      <c r="G34" s="6">
        <v>315</v>
      </c>
      <c r="H34" s="5" t="s">
        <v>27</v>
      </c>
      <c r="I34" s="5" t="s">
        <v>39</v>
      </c>
      <c r="J34" s="7">
        <v>45476</v>
      </c>
      <c r="K34" s="5"/>
      <c r="L34" s="9" t="s">
        <v>17</v>
      </c>
    </row>
    <row r="35" spans="1:12" ht="15.75" thickBot="1" x14ac:dyDescent="0.3">
      <c r="A35" s="10" t="s">
        <v>122</v>
      </c>
      <c r="B35" s="11" t="s">
        <v>24</v>
      </c>
      <c r="C35" s="11" t="s">
        <v>13</v>
      </c>
      <c r="D35" s="11"/>
      <c r="E35" s="12">
        <v>23</v>
      </c>
      <c r="F35" s="11"/>
      <c r="G35" s="11"/>
      <c r="H35" s="11" t="s">
        <v>51</v>
      </c>
      <c r="I35" s="11" t="s">
        <v>39</v>
      </c>
      <c r="J35" s="12" t="s">
        <v>123</v>
      </c>
      <c r="K35" s="11"/>
      <c r="L35" s="14" t="s">
        <v>32</v>
      </c>
    </row>
    <row r="36" spans="1:12" ht="15.75" thickBot="1" x14ac:dyDescent="0.3">
      <c r="A36" s="4" t="s">
        <v>124</v>
      </c>
      <c r="B36" s="5" t="s">
        <v>71</v>
      </c>
      <c r="C36" s="5" t="s">
        <v>25</v>
      </c>
      <c r="D36" s="5" t="s">
        <v>125</v>
      </c>
      <c r="E36" s="6">
        <v>41</v>
      </c>
      <c r="F36" s="6">
        <v>7</v>
      </c>
      <c r="G36" s="6">
        <v>287</v>
      </c>
      <c r="H36" s="5" t="s">
        <v>27</v>
      </c>
      <c r="I36" s="5" t="s">
        <v>39</v>
      </c>
      <c r="J36" s="7">
        <v>45357</v>
      </c>
      <c r="K36" s="8" t="b">
        <v>1</v>
      </c>
      <c r="L36" s="9" t="s">
        <v>17</v>
      </c>
    </row>
    <row r="37" spans="1:12" ht="15.75" thickBot="1" x14ac:dyDescent="0.3">
      <c r="A37" s="10" t="s">
        <v>126</v>
      </c>
      <c r="B37" s="11" t="s">
        <v>127</v>
      </c>
      <c r="C37" s="11" t="s">
        <v>30</v>
      </c>
      <c r="D37" s="11" t="s">
        <v>128</v>
      </c>
      <c r="E37" s="12">
        <v>38</v>
      </c>
      <c r="F37" s="12">
        <v>2</v>
      </c>
      <c r="G37" s="12">
        <v>76</v>
      </c>
      <c r="H37" s="11" t="s">
        <v>15</v>
      </c>
      <c r="I37" s="11" t="s">
        <v>39</v>
      </c>
      <c r="J37" s="15">
        <v>45568</v>
      </c>
      <c r="K37" s="13" t="b">
        <v>0</v>
      </c>
      <c r="L37" s="14" t="s">
        <v>32</v>
      </c>
    </row>
    <row r="38" spans="1:12" ht="15.75" thickBot="1" x14ac:dyDescent="0.3">
      <c r="A38" s="4" t="s">
        <v>129</v>
      </c>
      <c r="B38" s="5" t="s">
        <v>130</v>
      </c>
      <c r="C38" s="5" t="s">
        <v>42</v>
      </c>
      <c r="D38" s="5" t="s">
        <v>131</v>
      </c>
      <c r="E38" s="6">
        <v>18.5</v>
      </c>
      <c r="F38" s="6">
        <v>5</v>
      </c>
      <c r="G38" s="6">
        <v>92.5</v>
      </c>
      <c r="H38" s="5" t="s">
        <v>27</v>
      </c>
      <c r="I38" s="5" t="s">
        <v>16</v>
      </c>
      <c r="J38" s="6" t="s">
        <v>132</v>
      </c>
      <c r="K38" s="8" t="b">
        <v>1</v>
      </c>
      <c r="L38" s="9" t="s">
        <v>32</v>
      </c>
    </row>
    <row r="39" spans="1:12" ht="15.75" thickBot="1" x14ac:dyDescent="0.3">
      <c r="A39" s="10" t="s">
        <v>133</v>
      </c>
      <c r="B39" s="11" t="s">
        <v>60</v>
      </c>
      <c r="C39" s="11" t="s">
        <v>25</v>
      </c>
      <c r="D39" s="11" t="s">
        <v>134</v>
      </c>
      <c r="E39" s="12">
        <v>20</v>
      </c>
      <c r="F39" s="12">
        <v>5</v>
      </c>
      <c r="G39" s="12">
        <v>100</v>
      </c>
      <c r="H39" s="11" t="s">
        <v>15</v>
      </c>
      <c r="I39" s="11" t="s">
        <v>16</v>
      </c>
      <c r="J39" s="15">
        <v>44626</v>
      </c>
      <c r="K39" s="11"/>
      <c r="L39" s="14" t="s">
        <v>32</v>
      </c>
    </row>
    <row r="40" spans="1:12" ht="15.75" thickBot="1" x14ac:dyDescent="0.3">
      <c r="A40" s="4" t="s">
        <v>135</v>
      </c>
      <c r="B40" s="5" t="s">
        <v>136</v>
      </c>
      <c r="C40" s="5" t="s">
        <v>49</v>
      </c>
      <c r="D40" s="5" t="s">
        <v>137</v>
      </c>
      <c r="E40" s="6">
        <v>38</v>
      </c>
      <c r="F40" s="6">
        <v>5</v>
      </c>
      <c r="G40" s="6">
        <v>190</v>
      </c>
      <c r="H40" s="5" t="s">
        <v>27</v>
      </c>
      <c r="I40" s="5" t="s">
        <v>39</v>
      </c>
      <c r="J40" s="6" t="s">
        <v>138</v>
      </c>
      <c r="K40" s="8" t="b">
        <v>0</v>
      </c>
      <c r="L40" s="9" t="s">
        <v>35</v>
      </c>
    </row>
    <row r="41" spans="1:12" ht="15.75" thickBot="1" x14ac:dyDescent="0.3">
      <c r="A41" s="10" t="s">
        <v>139</v>
      </c>
      <c r="B41" s="11" t="s">
        <v>140</v>
      </c>
      <c r="C41" s="11" t="s">
        <v>25</v>
      </c>
      <c r="D41" s="11" t="s">
        <v>141</v>
      </c>
      <c r="E41" s="12">
        <v>36.5</v>
      </c>
      <c r="F41" s="12">
        <v>7</v>
      </c>
      <c r="G41" s="12">
        <v>255.5</v>
      </c>
      <c r="H41" s="11" t="s">
        <v>51</v>
      </c>
      <c r="I41" s="11" t="s">
        <v>16</v>
      </c>
      <c r="J41" s="12" t="s">
        <v>142</v>
      </c>
      <c r="K41" s="13" t="b">
        <v>1</v>
      </c>
      <c r="L41" s="14" t="s">
        <v>17</v>
      </c>
    </row>
    <row r="42" spans="1:12" ht="45.75" thickBot="1" x14ac:dyDescent="0.3">
      <c r="A42" s="4" t="s">
        <v>143</v>
      </c>
      <c r="B42" s="5" t="s">
        <v>140</v>
      </c>
      <c r="C42" s="5" t="s">
        <v>75</v>
      </c>
      <c r="D42" s="5" t="s">
        <v>144</v>
      </c>
      <c r="E42" s="6">
        <v>18.5</v>
      </c>
      <c r="F42" s="6">
        <v>5</v>
      </c>
      <c r="G42" s="6">
        <v>92.5</v>
      </c>
      <c r="H42" s="5" t="s">
        <v>51</v>
      </c>
      <c r="I42" s="5" t="s">
        <v>16</v>
      </c>
      <c r="J42" s="7">
        <v>44569</v>
      </c>
      <c r="K42" s="5"/>
      <c r="L42" s="9" t="s">
        <v>32</v>
      </c>
    </row>
    <row r="43" spans="1:12" ht="15.75" thickBot="1" x14ac:dyDescent="0.3">
      <c r="A43" s="10" t="s">
        <v>145</v>
      </c>
      <c r="B43" s="11" t="s">
        <v>48</v>
      </c>
      <c r="C43" s="11" t="s">
        <v>49</v>
      </c>
      <c r="D43" s="11" t="s">
        <v>146</v>
      </c>
      <c r="E43" s="12">
        <v>39.5</v>
      </c>
      <c r="F43" s="12">
        <v>7</v>
      </c>
      <c r="G43" s="12">
        <v>276.5</v>
      </c>
      <c r="H43" s="11" t="s">
        <v>15</v>
      </c>
      <c r="I43" s="11" t="s">
        <v>39</v>
      </c>
      <c r="J43" s="12" t="s">
        <v>147</v>
      </c>
      <c r="K43" s="11"/>
      <c r="L43" s="14" t="s">
        <v>17</v>
      </c>
    </row>
    <row r="44" spans="1:12" ht="15.75" thickBot="1" x14ac:dyDescent="0.3">
      <c r="A44" s="4" t="s">
        <v>148</v>
      </c>
      <c r="B44" s="5" t="s">
        <v>149</v>
      </c>
      <c r="C44" s="5" t="s">
        <v>25</v>
      </c>
      <c r="D44" s="5" t="s">
        <v>150</v>
      </c>
      <c r="E44" s="6">
        <v>15.5</v>
      </c>
      <c r="F44" s="6">
        <v>3</v>
      </c>
      <c r="G44" s="6">
        <v>46.5</v>
      </c>
      <c r="H44" s="5" t="s">
        <v>51</v>
      </c>
      <c r="I44" s="5" t="s">
        <v>39</v>
      </c>
      <c r="J44" s="7">
        <v>45508</v>
      </c>
      <c r="K44" s="5"/>
      <c r="L44" s="9" t="s">
        <v>32</v>
      </c>
    </row>
    <row r="45" spans="1:12" ht="15.75" thickBot="1" x14ac:dyDescent="0.3">
      <c r="A45" s="10" t="s">
        <v>151</v>
      </c>
      <c r="B45" s="11" t="s">
        <v>48</v>
      </c>
      <c r="C45" s="11" t="s">
        <v>30</v>
      </c>
      <c r="D45" s="11" t="s">
        <v>152</v>
      </c>
      <c r="E45" s="12">
        <v>8</v>
      </c>
      <c r="F45" s="12">
        <v>1</v>
      </c>
      <c r="G45" s="12">
        <v>8</v>
      </c>
      <c r="H45" s="11" t="s">
        <v>15</v>
      </c>
      <c r="I45" s="11" t="s">
        <v>39</v>
      </c>
      <c r="J45" s="12" t="s">
        <v>153</v>
      </c>
      <c r="K45" s="11"/>
      <c r="L45" s="14" t="s">
        <v>32</v>
      </c>
    </row>
    <row r="46" spans="1:12" ht="15.75" thickBot="1" x14ac:dyDescent="0.3">
      <c r="A46" s="4" t="s">
        <v>154</v>
      </c>
      <c r="B46" s="5" t="s">
        <v>117</v>
      </c>
      <c r="C46" s="5" t="s">
        <v>30</v>
      </c>
      <c r="D46" s="5" t="s">
        <v>155</v>
      </c>
      <c r="E46" s="6">
        <v>21.5</v>
      </c>
      <c r="F46" s="6">
        <v>5</v>
      </c>
      <c r="G46" s="6">
        <v>107.5</v>
      </c>
      <c r="H46" s="5" t="s">
        <v>15</v>
      </c>
      <c r="I46" s="5" t="s">
        <v>16</v>
      </c>
      <c r="J46" s="6" t="s">
        <v>156</v>
      </c>
      <c r="K46" s="8" t="b">
        <v>1</v>
      </c>
      <c r="L46" s="9" t="s">
        <v>35</v>
      </c>
    </row>
    <row r="47" spans="1:12" ht="45.75" thickBot="1" x14ac:dyDescent="0.3">
      <c r="A47" s="10" t="s">
        <v>157</v>
      </c>
      <c r="B47" s="11" t="s">
        <v>90</v>
      </c>
      <c r="C47" s="11" t="s">
        <v>158</v>
      </c>
      <c r="D47" s="11" t="s">
        <v>159</v>
      </c>
      <c r="E47" s="12">
        <v>27.5</v>
      </c>
      <c r="F47" s="12">
        <v>6</v>
      </c>
      <c r="G47" s="12">
        <v>165</v>
      </c>
      <c r="H47" s="11" t="s">
        <v>27</v>
      </c>
      <c r="I47" s="11" t="s">
        <v>16</v>
      </c>
      <c r="J47" s="15">
        <v>44716</v>
      </c>
      <c r="K47" s="13" t="b">
        <v>0</v>
      </c>
      <c r="L47" s="14" t="s">
        <v>35</v>
      </c>
    </row>
    <row r="48" spans="1:12" ht="15.75" thickBot="1" x14ac:dyDescent="0.3">
      <c r="A48" s="4" t="s">
        <v>160</v>
      </c>
      <c r="B48" s="5" t="s">
        <v>120</v>
      </c>
      <c r="C48" s="5" t="s">
        <v>13</v>
      </c>
      <c r="D48" s="5" t="s">
        <v>161</v>
      </c>
      <c r="E48" s="6">
        <v>20</v>
      </c>
      <c r="F48" s="6">
        <v>4</v>
      </c>
      <c r="G48" s="6">
        <v>80</v>
      </c>
      <c r="H48" s="5" t="s">
        <v>27</v>
      </c>
      <c r="I48" s="5" t="s">
        <v>16</v>
      </c>
      <c r="J48" s="7">
        <v>44719</v>
      </c>
      <c r="K48" s="8" t="b">
        <v>1</v>
      </c>
      <c r="L48" s="9" t="s">
        <v>32</v>
      </c>
    </row>
    <row r="49" spans="1:12" ht="15.75" thickBot="1" x14ac:dyDescent="0.3">
      <c r="A49" s="10" t="s">
        <v>162</v>
      </c>
      <c r="B49" s="11" t="s">
        <v>94</v>
      </c>
      <c r="C49" s="11" t="s">
        <v>49</v>
      </c>
      <c r="D49" s="11" t="s">
        <v>163</v>
      </c>
      <c r="E49" s="12">
        <v>27.5</v>
      </c>
      <c r="F49" s="12">
        <v>6</v>
      </c>
      <c r="G49" s="12">
        <v>165</v>
      </c>
      <c r="H49" s="11" t="s">
        <v>27</v>
      </c>
      <c r="I49" s="11" t="s">
        <v>16</v>
      </c>
      <c r="J49" s="12" t="s">
        <v>164</v>
      </c>
      <c r="K49" s="13" t="b">
        <v>1</v>
      </c>
      <c r="L49" s="14" t="s">
        <v>35</v>
      </c>
    </row>
    <row r="50" spans="1:12" ht="15.75" thickBot="1" x14ac:dyDescent="0.3">
      <c r="A50" s="4" t="s">
        <v>165</v>
      </c>
      <c r="B50" s="5" t="s">
        <v>48</v>
      </c>
      <c r="C50" s="5" t="s">
        <v>20</v>
      </c>
      <c r="D50" s="5" t="s">
        <v>64</v>
      </c>
      <c r="E50" s="6">
        <v>27.5</v>
      </c>
      <c r="F50" s="6">
        <v>7</v>
      </c>
      <c r="G50" s="6">
        <v>192.5</v>
      </c>
      <c r="H50" s="5" t="s">
        <v>51</v>
      </c>
      <c r="I50" s="5" t="s">
        <v>39</v>
      </c>
      <c r="J50" s="7">
        <v>44898</v>
      </c>
      <c r="K50" s="5"/>
      <c r="L50" s="9" t="s">
        <v>35</v>
      </c>
    </row>
    <row r="51" spans="1:12" ht="15.75" thickBot="1" x14ac:dyDescent="0.3">
      <c r="A51" s="10" t="s">
        <v>166</v>
      </c>
      <c r="B51" s="11" t="s">
        <v>29</v>
      </c>
      <c r="C51" s="11" t="s">
        <v>49</v>
      </c>
      <c r="D51" s="11" t="s">
        <v>100</v>
      </c>
      <c r="E51" s="12">
        <v>33.5</v>
      </c>
      <c r="F51" s="12">
        <v>10</v>
      </c>
      <c r="G51" s="12">
        <v>335</v>
      </c>
      <c r="H51" s="11" t="s">
        <v>27</v>
      </c>
      <c r="I51" s="11" t="s">
        <v>39</v>
      </c>
      <c r="J51" s="15">
        <v>45264</v>
      </c>
      <c r="K51" s="13" t="b">
        <v>0</v>
      </c>
      <c r="L51" s="14" t="s">
        <v>17</v>
      </c>
    </row>
    <row r="52" spans="1:12" ht="45.75" thickBot="1" x14ac:dyDescent="0.3">
      <c r="A52" s="4" t="s">
        <v>167</v>
      </c>
      <c r="B52" s="5" t="s">
        <v>44</v>
      </c>
      <c r="C52" s="5" t="s">
        <v>158</v>
      </c>
      <c r="D52" s="5" t="s">
        <v>168</v>
      </c>
      <c r="E52" s="6">
        <v>11</v>
      </c>
      <c r="F52" s="6">
        <v>6</v>
      </c>
      <c r="G52" s="6">
        <v>66</v>
      </c>
      <c r="H52" s="5" t="s">
        <v>27</v>
      </c>
      <c r="I52" s="5" t="s">
        <v>16</v>
      </c>
      <c r="J52" s="7">
        <v>45538</v>
      </c>
      <c r="K52" s="8" t="b">
        <v>1</v>
      </c>
      <c r="L52" s="9" t="s">
        <v>32</v>
      </c>
    </row>
    <row r="53" spans="1:12" ht="15.75" thickBot="1" x14ac:dyDescent="0.3">
      <c r="A53" s="10" t="s">
        <v>169</v>
      </c>
      <c r="B53" s="11" t="s">
        <v>41</v>
      </c>
      <c r="C53" s="11" t="s">
        <v>30</v>
      </c>
      <c r="D53" s="11" t="s">
        <v>155</v>
      </c>
      <c r="E53" s="12">
        <v>21.5</v>
      </c>
      <c r="F53" s="12">
        <v>10</v>
      </c>
      <c r="G53" s="12">
        <v>215</v>
      </c>
      <c r="H53" s="11" t="s">
        <v>15</v>
      </c>
      <c r="I53" s="11" t="s">
        <v>39</v>
      </c>
      <c r="J53" s="12" t="s">
        <v>170</v>
      </c>
      <c r="K53" s="13" t="b">
        <v>0</v>
      </c>
      <c r="L53" s="14" t="s">
        <v>17</v>
      </c>
    </row>
    <row r="54" spans="1:12" ht="15.75" thickBot="1" x14ac:dyDescent="0.3">
      <c r="A54" s="4" t="s">
        <v>171</v>
      </c>
      <c r="B54" s="5" t="s">
        <v>149</v>
      </c>
      <c r="C54" s="5" t="s">
        <v>20</v>
      </c>
      <c r="D54" s="5" t="s">
        <v>172</v>
      </c>
      <c r="E54" s="6">
        <v>32</v>
      </c>
      <c r="F54" s="6">
        <v>3</v>
      </c>
      <c r="G54" s="6">
        <v>96</v>
      </c>
      <c r="H54" s="5" t="s">
        <v>27</v>
      </c>
      <c r="I54" s="5" t="s">
        <v>16</v>
      </c>
      <c r="J54" s="6" t="s">
        <v>173</v>
      </c>
      <c r="K54" s="5"/>
      <c r="L54" s="9" t="s">
        <v>32</v>
      </c>
    </row>
    <row r="55" spans="1:12" ht="15.75" thickBot="1" x14ac:dyDescent="0.3">
      <c r="A55" s="10" t="s">
        <v>174</v>
      </c>
      <c r="B55" s="11" t="s">
        <v>78</v>
      </c>
      <c r="C55" s="11" t="s">
        <v>42</v>
      </c>
      <c r="D55" s="11" t="s">
        <v>175</v>
      </c>
      <c r="E55" s="12">
        <v>38</v>
      </c>
      <c r="F55" s="12">
        <v>5</v>
      </c>
      <c r="G55" s="12">
        <v>190</v>
      </c>
      <c r="H55" s="11" t="s">
        <v>15</v>
      </c>
      <c r="I55" s="11" t="s">
        <v>16</v>
      </c>
      <c r="J55" s="12" t="s">
        <v>176</v>
      </c>
      <c r="K55" s="13" t="b">
        <v>0</v>
      </c>
      <c r="L55" s="14" t="s">
        <v>35</v>
      </c>
    </row>
    <row r="56" spans="1:12" ht="15.75" thickBot="1" x14ac:dyDescent="0.3">
      <c r="A56" s="4" t="s">
        <v>177</v>
      </c>
      <c r="B56" s="5" t="s">
        <v>71</v>
      </c>
      <c r="C56" s="5" t="s">
        <v>42</v>
      </c>
      <c r="D56" s="5" t="s">
        <v>178</v>
      </c>
      <c r="E56" s="6">
        <v>14</v>
      </c>
      <c r="F56" s="6">
        <v>3</v>
      </c>
      <c r="G56" s="6">
        <v>42</v>
      </c>
      <c r="H56" s="5" t="s">
        <v>15</v>
      </c>
      <c r="I56" s="5" t="s">
        <v>39</v>
      </c>
      <c r="J56" s="7">
        <v>44961</v>
      </c>
      <c r="K56" s="5"/>
      <c r="L56" s="9" t="s">
        <v>32</v>
      </c>
    </row>
    <row r="57" spans="1:12" ht="45.75" thickBot="1" x14ac:dyDescent="0.3">
      <c r="A57" s="10" t="s">
        <v>179</v>
      </c>
      <c r="B57" s="11" t="s">
        <v>120</v>
      </c>
      <c r="C57" s="11" t="s">
        <v>158</v>
      </c>
      <c r="D57" s="11" t="s">
        <v>168</v>
      </c>
      <c r="E57" s="12">
        <v>11</v>
      </c>
      <c r="F57" s="12">
        <v>1</v>
      </c>
      <c r="G57" s="12">
        <v>11</v>
      </c>
      <c r="H57" s="11" t="s">
        <v>27</v>
      </c>
      <c r="I57" s="11" t="s">
        <v>16</v>
      </c>
      <c r="J57" s="12" t="s">
        <v>180</v>
      </c>
      <c r="K57" s="13" t="b">
        <v>1</v>
      </c>
      <c r="L57" s="14" t="s">
        <v>32</v>
      </c>
    </row>
    <row r="58" spans="1:12" ht="45.75" thickBot="1" x14ac:dyDescent="0.3">
      <c r="A58" s="4" t="s">
        <v>181</v>
      </c>
      <c r="B58" s="5" t="s">
        <v>37</v>
      </c>
      <c r="C58" s="5" t="s">
        <v>158</v>
      </c>
      <c r="D58" s="5" t="s">
        <v>182</v>
      </c>
      <c r="E58" s="6">
        <v>26</v>
      </c>
      <c r="F58" s="6">
        <v>9</v>
      </c>
      <c r="G58" s="6">
        <v>234</v>
      </c>
      <c r="H58" s="5" t="s">
        <v>51</v>
      </c>
      <c r="I58" s="5" t="s">
        <v>16</v>
      </c>
      <c r="J58" s="6" t="s">
        <v>183</v>
      </c>
      <c r="K58" s="8" t="b">
        <v>1</v>
      </c>
      <c r="L58" s="9" t="s">
        <v>17</v>
      </c>
    </row>
    <row r="59" spans="1:12" ht="15.75" thickBot="1" x14ac:dyDescent="0.3">
      <c r="A59" s="10" t="s">
        <v>184</v>
      </c>
      <c r="B59" s="11" t="s">
        <v>127</v>
      </c>
      <c r="C59" s="11" t="s">
        <v>42</v>
      </c>
      <c r="D59" s="11" t="s">
        <v>45</v>
      </c>
      <c r="E59" s="12">
        <v>27.5</v>
      </c>
      <c r="F59" s="12">
        <v>9</v>
      </c>
      <c r="G59" s="12">
        <v>247.5</v>
      </c>
      <c r="H59" s="11" t="s">
        <v>51</v>
      </c>
      <c r="I59" s="11" t="s">
        <v>16</v>
      </c>
      <c r="J59" s="15">
        <v>45452</v>
      </c>
      <c r="K59" s="11"/>
      <c r="L59" s="14" t="s">
        <v>17</v>
      </c>
    </row>
    <row r="60" spans="1:12" ht="15.75" thickBot="1" x14ac:dyDescent="0.3">
      <c r="A60" s="4" t="s">
        <v>185</v>
      </c>
      <c r="B60" s="5" t="s">
        <v>12</v>
      </c>
      <c r="C60" s="5" t="s">
        <v>20</v>
      </c>
      <c r="D60" s="5" t="s">
        <v>186</v>
      </c>
      <c r="E60" s="6">
        <v>12.5</v>
      </c>
      <c r="F60" s="6">
        <v>7</v>
      </c>
      <c r="G60" s="6">
        <v>87.5</v>
      </c>
      <c r="H60" s="5" t="s">
        <v>27</v>
      </c>
      <c r="I60" s="5" t="s">
        <v>16</v>
      </c>
      <c r="J60" s="6" t="s">
        <v>187</v>
      </c>
      <c r="K60" s="8" t="b">
        <v>0</v>
      </c>
      <c r="L60" s="9" t="s">
        <v>32</v>
      </c>
    </row>
    <row r="61" spans="1:12" ht="45.75" thickBot="1" x14ac:dyDescent="0.3">
      <c r="A61" s="10" t="s">
        <v>188</v>
      </c>
      <c r="B61" s="11" t="s">
        <v>86</v>
      </c>
      <c r="C61" s="11" t="s">
        <v>158</v>
      </c>
      <c r="D61" s="11" t="s">
        <v>189</v>
      </c>
      <c r="E61" s="12">
        <v>39.5</v>
      </c>
      <c r="F61" s="12">
        <v>8</v>
      </c>
      <c r="G61" s="12">
        <v>316</v>
      </c>
      <c r="H61" s="11" t="s">
        <v>27</v>
      </c>
      <c r="I61" s="11" t="s">
        <v>39</v>
      </c>
      <c r="J61" s="12" t="s">
        <v>190</v>
      </c>
      <c r="K61" s="13" t="b">
        <v>0</v>
      </c>
      <c r="L61" s="14" t="s">
        <v>17</v>
      </c>
    </row>
    <row r="62" spans="1:12" ht="15.75" thickBot="1" x14ac:dyDescent="0.3">
      <c r="A62" s="4" t="s">
        <v>191</v>
      </c>
      <c r="B62" s="5" t="s">
        <v>48</v>
      </c>
      <c r="C62" s="5" t="s">
        <v>20</v>
      </c>
      <c r="D62" s="5" t="s">
        <v>64</v>
      </c>
      <c r="E62" s="6">
        <v>27.5</v>
      </c>
      <c r="F62" s="6">
        <v>3</v>
      </c>
      <c r="G62" s="6">
        <v>82.5</v>
      </c>
      <c r="H62" s="5" t="s">
        <v>15</v>
      </c>
      <c r="I62" s="5" t="s">
        <v>16</v>
      </c>
      <c r="J62" s="7">
        <v>45484</v>
      </c>
      <c r="K62" s="8" t="b">
        <v>1</v>
      </c>
      <c r="L62" s="9" t="s">
        <v>32</v>
      </c>
    </row>
    <row r="63" spans="1:12" ht="15.75" thickBot="1" x14ac:dyDescent="0.3">
      <c r="A63" s="10" t="s">
        <v>192</v>
      </c>
      <c r="B63" s="11" t="s">
        <v>149</v>
      </c>
      <c r="C63" s="11" t="s">
        <v>13</v>
      </c>
      <c r="D63" s="11" t="s">
        <v>161</v>
      </c>
      <c r="E63" s="12">
        <v>20</v>
      </c>
      <c r="F63" s="12">
        <v>9</v>
      </c>
      <c r="G63" s="12">
        <v>180</v>
      </c>
      <c r="H63" s="11" t="s">
        <v>27</v>
      </c>
      <c r="I63" s="11" t="s">
        <v>39</v>
      </c>
      <c r="J63" s="12" t="s">
        <v>193</v>
      </c>
      <c r="K63" s="13" t="b">
        <v>1</v>
      </c>
      <c r="L63" s="14" t="s">
        <v>35</v>
      </c>
    </row>
    <row r="64" spans="1:12" ht="45.75" thickBot="1" x14ac:dyDescent="0.3">
      <c r="A64" s="4" t="s">
        <v>194</v>
      </c>
      <c r="B64" s="5" t="s">
        <v>90</v>
      </c>
      <c r="C64" s="5" t="s">
        <v>158</v>
      </c>
      <c r="D64" s="5" t="s">
        <v>195</v>
      </c>
      <c r="E64" s="6">
        <v>36.5</v>
      </c>
      <c r="F64" s="6">
        <v>7</v>
      </c>
      <c r="G64" s="6">
        <v>255.5</v>
      </c>
      <c r="H64" s="5" t="s">
        <v>51</v>
      </c>
      <c r="I64" s="5" t="s">
        <v>39</v>
      </c>
      <c r="J64" s="6" t="s">
        <v>101</v>
      </c>
      <c r="K64" s="8" t="b">
        <v>0</v>
      </c>
      <c r="L64" s="9" t="s">
        <v>17</v>
      </c>
    </row>
    <row r="65" spans="1:12" ht="15.75" thickBot="1" x14ac:dyDescent="0.3">
      <c r="A65" s="10" t="s">
        <v>196</v>
      </c>
      <c r="B65" s="11" t="s">
        <v>78</v>
      </c>
      <c r="C65" s="11" t="s">
        <v>30</v>
      </c>
      <c r="D65" s="11" t="s">
        <v>197</v>
      </c>
      <c r="E65" s="12">
        <v>36.5</v>
      </c>
      <c r="F65" s="12">
        <v>10</v>
      </c>
      <c r="G65" s="12">
        <v>365</v>
      </c>
      <c r="H65" s="11" t="s">
        <v>27</v>
      </c>
      <c r="I65" s="11" t="s">
        <v>16</v>
      </c>
      <c r="J65" s="15">
        <v>45330</v>
      </c>
      <c r="K65" s="13" t="b">
        <v>1</v>
      </c>
      <c r="L65" s="14" t="s">
        <v>17</v>
      </c>
    </row>
    <row r="66" spans="1:12" ht="15.75" thickBot="1" x14ac:dyDescent="0.3">
      <c r="A66" s="4" t="s">
        <v>198</v>
      </c>
      <c r="B66" s="5" t="s">
        <v>74</v>
      </c>
      <c r="C66" s="5" t="s">
        <v>49</v>
      </c>
      <c r="D66" s="5" t="s">
        <v>199</v>
      </c>
      <c r="E66" s="6">
        <v>6.5</v>
      </c>
      <c r="F66" s="6">
        <v>6</v>
      </c>
      <c r="G66" s="6">
        <v>39</v>
      </c>
      <c r="H66" s="5" t="s">
        <v>27</v>
      </c>
      <c r="I66" s="5" t="s">
        <v>39</v>
      </c>
      <c r="J66" s="7">
        <v>44905</v>
      </c>
      <c r="K66" s="5"/>
      <c r="L66" s="9" t="s">
        <v>32</v>
      </c>
    </row>
    <row r="67" spans="1:12" ht="15.75" thickBot="1" x14ac:dyDescent="0.3">
      <c r="A67" s="10" t="s">
        <v>200</v>
      </c>
      <c r="B67" s="11" t="s">
        <v>78</v>
      </c>
      <c r="C67" s="11" t="s">
        <v>13</v>
      </c>
      <c r="D67" s="11" t="s">
        <v>201</v>
      </c>
      <c r="E67" s="12">
        <v>24.5</v>
      </c>
      <c r="F67" s="12">
        <v>10</v>
      </c>
      <c r="G67" s="12">
        <v>245</v>
      </c>
      <c r="H67" s="11" t="s">
        <v>27</v>
      </c>
      <c r="I67" s="11" t="s">
        <v>39</v>
      </c>
      <c r="J67" s="15">
        <v>44806</v>
      </c>
      <c r="K67" s="13" t="b">
        <v>0</v>
      </c>
      <c r="L67" s="14" t="s">
        <v>17</v>
      </c>
    </row>
    <row r="68" spans="1:12" ht="15.75" thickBot="1" x14ac:dyDescent="0.3">
      <c r="A68" s="4" t="s">
        <v>202</v>
      </c>
      <c r="B68" s="5" t="s">
        <v>99</v>
      </c>
      <c r="C68" s="5" t="s">
        <v>13</v>
      </c>
      <c r="D68" s="5" t="s">
        <v>203</v>
      </c>
      <c r="E68" s="6">
        <v>21.5</v>
      </c>
      <c r="F68" s="6">
        <v>8</v>
      </c>
      <c r="G68" s="6">
        <v>172</v>
      </c>
      <c r="H68" s="5" t="s">
        <v>51</v>
      </c>
      <c r="I68" s="5" t="s">
        <v>39</v>
      </c>
      <c r="J68" s="6" t="s">
        <v>204</v>
      </c>
      <c r="K68" s="8" t="b">
        <v>0</v>
      </c>
      <c r="L68" s="9" t="s">
        <v>35</v>
      </c>
    </row>
    <row r="69" spans="1:12" ht="15.75" thickBot="1" x14ac:dyDescent="0.3">
      <c r="A69" s="10" t="s">
        <v>205</v>
      </c>
      <c r="B69" s="11" t="s">
        <v>206</v>
      </c>
      <c r="C69" s="11" t="s">
        <v>49</v>
      </c>
      <c r="D69" s="11" t="s">
        <v>100</v>
      </c>
      <c r="E69" s="12">
        <v>33.5</v>
      </c>
      <c r="F69" s="12">
        <v>4</v>
      </c>
      <c r="G69" s="12">
        <v>134</v>
      </c>
      <c r="H69" s="11" t="s">
        <v>27</v>
      </c>
      <c r="I69" s="11" t="s">
        <v>16</v>
      </c>
      <c r="J69" s="12" t="s">
        <v>207</v>
      </c>
      <c r="K69" s="11"/>
      <c r="L69" s="14" t="s">
        <v>35</v>
      </c>
    </row>
    <row r="70" spans="1:12" ht="15.75" thickBot="1" x14ac:dyDescent="0.3">
      <c r="A70" s="4" t="s">
        <v>208</v>
      </c>
      <c r="B70" s="5" t="s">
        <v>136</v>
      </c>
      <c r="C70" s="5" t="s">
        <v>30</v>
      </c>
      <c r="D70" s="5" t="s">
        <v>209</v>
      </c>
      <c r="E70" s="6">
        <v>30.5</v>
      </c>
      <c r="F70" s="6">
        <v>4</v>
      </c>
      <c r="G70" s="6">
        <v>122</v>
      </c>
      <c r="H70" s="5" t="s">
        <v>27</v>
      </c>
      <c r="I70" s="5" t="s">
        <v>16</v>
      </c>
      <c r="J70" s="6" t="s">
        <v>210</v>
      </c>
      <c r="K70" s="8" t="b">
        <v>1</v>
      </c>
      <c r="L70" s="9" t="s">
        <v>35</v>
      </c>
    </row>
    <row r="71" spans="1:12" ht="15.75" thickBot="1" x14ac:dyDescent="0.3">
      <c r="A71" s="10" t="s">
        <v>211</v>
      </c>
      <c r="B71" s="11" t="s">
        <v>74</v>
      </c>
      <c r="C71" s="11" t="s">
        <v>13</v>
      </c>
      <c r="D71" s="11" t="s">
        <v>212</v>
      </c>
      <c r="E71" s="12">
        <v>5</v>
      </c>
      <c r="F71" s="12">
        <v>6</v>
      </c>
      <c r="G71" s="12">
        <v>30</v>
      </c>
      <c r="H71" s="11" t="s">
        <v>15</v>
      </c>
      <c r="I71" s="11" t="s">
        <v>16</v>
      </c>
      <c r="J71" s="12" t="s">
        <v>213</v>
      </c>
      <c r="K71" s="13" t="b">
        <v>1</v>
      </c>
      <c r="L71" s="14" t="s">
        <v>32</v>
      </c>
    </row>
    <row r="72" spans="1:12" ht="15.75" thickBot="1" x14ac:dyDescent="0.3">
      <c r="A72" s="4" t="s">
        <v>214</v>
      </c>
      <c r="B72" s="5" t="s">
        <v>48</v>
      </c>
      <c r="C72" s="5" t="s">
        <v>25</v>
      </c>
      <c r="D72" s="5" t="s">
        <v>215</v>
      </c>
      <c r="E72" s="6">
        <v>9.5</v>
      </c>
      <c r="F72" s="6">
        <v>7</v>
      </c>
      <c r="G72" s="6">
        <v>66.5</v>
      </c>
      <c r="H72" s="5" t="s">
        <v>15</v>
      </c>
      <c r="I72" s="5" t="s">
        <v>39</v>
      </c>
      <c r="J72" s="6" t="s">
        <v>216</v>
      </c>
      <c r="K72" s="5"/>
      <c r="L72" s="9" t="s">
        <v>32</v>
      </c>
    </row>
    <row r="73" spans="1:12" ht="15.75" thickBot="1" x14ac:dyDescent="0.3">
      <c r="A73" s="10" t="s">
        <v>217</v>
      </c>
      <c r="B73" s="11" t="s">
        <v>48</v>
      </c>
      <c r="C73" s="11" t="s">
        <v>42</v>
      </c>
      <c r="D73" s="11" t="s">
        <v>218</v>
      </c>
      <c r="E73" s="12">
        <v>36.5</v>
      </c>
      <c r="F73" s="12">
        <v>10</v>
      </c>
      <c r="G73" s="12">
        <v>365</v>
      </c>
      <c r="H73" s="11" t="s">
        <v>15</v>
      </c>
      <c r="I73" s="11" t="s">
        <v>39</v>
      </c>
      <c r="J73" s="12" t="s">
        <v>219</v>
      </c>
      <c r="K73" s="13" t="b">
        <v>1</v>
      </c>
      <c r="L73" s="14" t="s">
        <v>17</v>
      </c>
    </row>
    <row r="74" spans="1:12" ht="15.75" thickBot="1" x14ac:dyDescent="0.3">
      <c r="A74" s="4" t="s">
        <v>220</v>
      </c>
      <c r="B74" s="5" t="s">
        <v>41</v>
      </c>
      <c r="C74" s="5" t="s">
        <v>13</v>
      </c>
      <c r="D74" s="5" t="s">
        <v>221</v>
      </c>
      <c r="E74" s="6">
        <v>14</v>
      </c>
      <c r="F74" s="6">
        <v>9</v>
      </c>
      <c r="G74" s="6">
        <v>126</v>
      </c>
      <c r="H74" s="5" t="s">
        <v>15</v>
      </c>
      <c r="I74" s="5" t="s">
        <v>39</v>
      </c>
      <c r="J74" s="7">
        <v>45992</v>
      </c>
      <c r="K74" s="8" t="b">
        <v>0</v>
      </c>
      <c r="L74" s="9" t="s">
        <v>35</v>
      </c>
    </row>
    <row r="75" spans="1:12" ht="15.75" thickBot="1" x14ac:dyDescent="0.3">
      <c r="A75" s="10" t="s">
        <v>222</v>
      </c>
      <c r="B75" s="11" t="s">
        <v>120</v>
      </c>
      <c r="C75" s="11" t="s">
        <v>25</v>
      </c>
      <c r="D75" s="11" t="s">
        <v>81</v>
      </c>
      <c r="E75" s="12">
        <v>14</v>
      </c>
      <c r="F75" s="12">
        <v>6</v>
      </c>
      <c r="G75" s="12">
        <v>84</v>
      </c>
      <c r="H75" s="11" t="s">
        <v>15</v>
      </c>
      <c r="I75" s="11" t="s">
        <v>16</v>
      </c>
      <c r="J75" s="12" t="s">
        <v>223</v>
      </c>
      <c r="K75" s="13" t="b">
        <v>1</v>
      </c>
      <c r="L75" s="14" t="s">
        <v>32</v>
      </c>
    </row>
    <row r="76" spans="1:12" ht="15.75" thickBot="1" x14ac:dyDescent="0.3">
      <c r="A76" s="4" t="s">
        <v>224</v>
      </c>
      <c r="B76" s="5" t="s">
        <v>127</v>
      </c>
      <c r="C76" s="5" t="s">
        <v>20</v>
      </c>
      <c r="D76" s="5" t="s">
        <v>172</v>
      </c>
      <c r="E76" s="6">
        <v>32</v>
      </c>
      <c r="F76" s="6">
        <v>10</v>
      </c>
      <c r="G76" s="6">
        <v>320</v>
      </c>
      <c r="H76" s="5" t="s">
        <v>15</v>
      </c>
      <c r="I76" s="5" t="s">
        <v>39</v>
      </c>
      <c r="J76" s="6" t="s">
        <v>225</v>
      </c>
      <c r="K76" s="5"/>
      <c r="L76" s="9" t="s">
        <v>17</v>
      </c>
    </row>
    <row r="77" spans="1:12" ht="15.75" thickBot="1" x14ac:dyDescent="0.3">
      <c r="A77" s="10" t="s">
        <v>226</v>
      </c>
      <c r="B77" s="11" t="s">
        <v>127</v>
      </c>
      <c r="C77" s="11" t="s">
        <v>25</v>
      </c>
      <c r="D77" s="11" t="s">
        <v>141</v>
      </c>
      <c r="E77" s="12">
        <v>36.5</v>
      </c>
      <c r="F77" s="12">
        <v>6</v>
      </c>
      <c r="G77" s="12">
        <v>219</v>
      </c>
      <c r="H77" s="11" t="s">
        <v>51</v>
      </c>
      <c r="I77" s="11" t="s">
        <v>39</v>
      </c>
      <c r="J77" s="15">
        <v>45109</v>
      </c>
      <c r="K77" s="13" t="b">
        <v>1</v>
      </c>
      <c r="L77" s="14" t="s">
        <v>17</v>
      </c>
    </row>
    <row r="78" spans="1:12" ht="45.75" thickBot="1" x14ac:dyDescent="0.3">
      <c r="A78" s="4" t="s">
        <v>227</v>
      </c>
      <c r="B78" s="5" t="s">
        <v>12</v>
      </c>
      <c r="C78" s="5" t="s">
        <v>158</v>
      </c>
      <c r="D78" s="5" t="s">
        <v>228</v>
      </c>
      <c r="E78" s="6">
        <v>33.5</v>
      </c>
      <c r="F78" s="6">
        <v>10</v>
      </c>
      <c r="G78" s="6">
        <v>335</v>
      </c>
      <c r="H78" s="5" t="s">
        <v>27</v>
      </c>
      <c r="I78" s="5" t="s">
        <v>16</v>
      </c>
      <c r="J78" s="6" t="s">
        <v>229</v>
      </c>
      <c r="K78" s="5"/>
      <c r="L78" s="9" t="s">
        <v>17</v>
      </c>
    </row>
    <row r="79" spans="1:12" ht="15.75" thickBot="1" x14ac:dyDescent="0.3">
      <c r="A79" s="10" t="s">
        <v>230</v>
      </c>
      <c r="B79" s="11" t="s">
        <v>149</v>
      </c>
      <c r="C79" s="11" t="s">
        <v>30</v>
      </c>
      <c r="D79" s="11" t="s">
        <v>231</v>
      </c>
      <c r="E79" s="12">
        <v>33.5</v>
      </c>
      <c r="F79" s="12">
        <v>2</v>
      </c>
      <c r="G79" s="12">
        <v>67</v>
      </c>
      <c r="H79" s="11" t="s">
        <v>15</v>
      </c>
      <c r="I79" s="11" t="s">
        <v>16</v>
      </c>
      <c r="J79" s="12" t="s">
        <v>232</v>
      </c>
      <c r="K79" s="11"/>
      <c r="L79" s="14" t="s">
        <v>32</v>
      </c>
    </row>
    <row r="80" spans="1:12" ht="45.75" thickBot="1" x14ac:dyDescent="0.3">
      <c r="A80" s="4" t="s">
        <v>233</v>
      </c>
      <c r="B80" s="5" t="s">
        <v>117</v>
      </c>
      <c r="C80" s="5" t="s">
        <v>158</v>
      </c>
      <c r="D80" s="5" t="s">
        <v>195</v>
      </c>
      <c r="E80" s="6">
        <v>36.5</v>
      </c>
      <c r="F80" s="6">
        <v>4</v>
      </c>
      <c r="G80" s="6">
        <v>146</v>
      </c>
      <c r="H80" s="5" t="s">
        <v>15</v>
      </c>
      <c r="I80" s="5" t="s">
        <v>16</v>
      </c>
      <c r="J80" s="6" t="s">
        <v>234</v>
      </c>
      <c r="K80" s="8" t="b">
        <v>1</v>
      </c>
      <c r="L80" s="9" t="s">
        <v>35</v>
      </c>
    </row>
    <row r="81" spans="1:12" ht="15.75" thickBot="1" x14ac:dyDescent="0.3">
      <c r="A81" s="10" t="s">
        <v>235</v>
      </c>
      <c r="B81" s="11" t="s">
        <v>37</v>
      </c>
      <c r="C81" s="11" t="s">
        <v>13</v>
      </c>
      <c r="D81" s="11" t="s">
        <v>68</v>
      </c>
      <c r="E81" s="12">
        <v>29</v>
      </c>
      <c r="F81" s="12">
        <v>10</v>
      </c>
      <c r="G81" s="12">
        <v>290</v>
      </c>
      <c r="H81" s="11" t="s">
        <v>27</v>
      </c>
      <c r="I81" s="11" t="s">
        <v>39</v>
      </c>
      <c r="J81" s="12" t="s">
        <v>236</v>
      </c>
      <c r="K81" s="11"/>
      <c r="L81" s="14" t="s">
        <v>17</v>
      </c>
    </row>
    <row r="82" spans="1:12" ht="45.75" thickBot="1" x14ac:dyDescent="0.3">
      <c r="A82" s="4" t="s">
        <v>237</v>
      </c>
      <c r="B82" s="5" t="s">
        <v>86</v>
      </c>
      <c r="C82" s="5" t="s">
        <v>75</v>
      </c>
      <c r="D82" s="5" t="s">
        <v>121</v>
      </c>
      <c r="E82" s="6">
        <v>35</v>
      </c>
      <c r="F82" s="6">
        <v>2</v>
      </c>
      <c r="G82" s="6">
        <v>70</v>
      </c>
      <c r="H82" s="5" t="s">
        <v>15</v>
      </c>
      <c r="I82" s="5" t="s">
        <v>39</v>
      </c>
      <c r="J82" s="7">
        <v>45174</v>
      </c>
      <c r="K82" s="8" t="b">
        <v>0</v>
      </c>
      <c r="L82" s="9" t="s">
        <v>32</v>
      </c>
    </row>
    <row r="83" spans="1:12" ht="15.75" thickBot="1" x14ac:dyDescent="0.3">
      <c r="A83" s="10" t="s">
        <v>238</v>
      </c>
      <c r="B83" s="11" t="s">
        <v>12</v>
      </c>
      <c r="C83" s="11" t="s">
        <v>42</v>
      </c>
      <c r="D83" s="11" t="s">
        <v>239</v>
      </c>
      <c r="E83" s="12">
        <v>20</v>
      </c>
      <c r="F83" s="12">
        <v>8</v>
      </c>
      <c r="G83" s="12">
        <v>160</v>
      </c>
      <c r="H83" s="11" t="s">
        <v>15</v>
      </c>
      <c r="I83" s="11" t="s">
        <v>39</v>
      </c>
      <c r="J83" s="12" t="s">
        <v>240</v>
      </c>
      <c r="K83" s="13" t="b">
        <v>0</v>
      </c>
      <c r="L83" s="14" t="s">
        <v>35</v>
      </c>
    </row>
    <row r="84" spans="1:12" ht="15.75" thickBot="1" x14ac:dyDescent="0.3">
      <c r="A84" s="4" t="s">
        <v>241</v>
      </c>
      <c r="B84" s="5" t="s">
        <v>48</v>
      </c>
      <c r="C84" s="5" t="s">
        <v>13</v>
      </c>
      <c r="D84" s="5"/>
      <c r="E84" s="6">
        <v>15.5</v>
      </c>
      <c r="F84" s="5"/>
      <c r="G84" s="5"/>
      <c r="H84" s="5" t="s">
        <v>27</v>
      </c>
      <c r="I84" s="5" t="s">
        <v>39</v>
      </c>
      <c r="J84" s="6" t="s">
        <v>242</v>
      </c>
      <c r="K84" s="8" t="b">
        <v>0</v>
      </c>
      <c r="L84" s="9" t="s">
        <v>32</v>
      </c>
    </row>
    <row r="85" spans="1:12" ht="15.75" thickBot="1" x14ac:dyDescent="0.3">
      <c r="A85" s="10" t="s">
        <v>243</v>
      </c>
      <c r="B85" s="11" t="s">
        <v>90</v>
      </c>
      <c r="C85" s="11" t="s">
        <v>13</v>
      </c>
      <c r="D85" s="11" t="s">
        <v>244</v>
      </c>
      <c r="E85" s="12">
        <v>41</v>
      </c>
      <c r="F85" s="12">
        <v>2</v>
      </c>
      <c r="G85" s="12">
        <v>82</v>
      </c>
      <c r="H85" s="11" t="s">
        <v>27</v>
      </c>
      <c r="I85" s="11" t="s">
        <v>16</v>
      </c>
      <c r="J85" s="15">
        <v>45084</v>
      </c>
      <c r="K85" s="13" t="b">
        <v>1</v>
      </c>
      <c r="L85" s="14" t="s">
        <v>32</v>
      </c>
    </row>
    <row r="86" spans="1:12" ht="15.75" thickBot="1" x14ac:dyDescent="0.3">
      <c r="A86" s="4" t="s">
        <v>245</v>
      </c>
      <c r="B86" s="5" t="s">
        <v>106</v>
      </c>
      <c r="C86" s="5" t="s">
        <v>30</v>
      </c>
      <c r="D86" s="5" t="s">
        <v>246</v>
      </c>
      <c r="E86" s="6">
        <v>14</v>
      </c>
      <c r="F86" s="6">
        <v>1</v>
      </c>
      <c r="G86" s="6">
        <v>14</v>
      </c>
      <c r="H86" s="5" t="s">
        <v>27</v>
      </c>
      <c r="I86" s="5" t="s">
        <v>39</v>
      </c>
      <c r="J86" s="6" t="s">
        <v>247</v>
      </c>
      <c r="K86" s="5"/>
      <c r="L86" s="9" t="s">
        <v>32</v>
      </c>
    </row>
    <row r="87" spans="1:12" ht="15.75" thickBot="1" x14ac:dyDescent="0.3">
      <c r="A87" s="10" t="s">
        <v>248</v>
      </c>
      <c r="B87" s="11" t="s">
        <v>74</v>
      </c>
      <c r="C87" s="11" t="s">
        <v>42</v>
      </c>
      <c r="D87" s="11" t="s">
        <v>249</v>
      </c>
      <c r="E87" s="12">
        <v>35</v>
      </c>
      <c r="F87" s="12">
        <v>3</v>
      </c>
      <c r="G87" s="12">
        <v>105</v>
      </c>
      <c r="H87" s="11" t="s">
        <v>15</v>
      </c>
      <c r="I87" s="11" t="s">
        <v>16</v>
      </c>
      <c r="J87" s="15">
        <v>44930</v>
      </c>
      <c r="K87" s="11"/>
      <c r="L87" s="14" t="s">
        <v>35</v>
      </c>
    </row>
    <row r="88" spans="1:12" ht="15.75" thickBot="1" x14ac:dyDescent="0.3">
      <c r="A88" s="4" t="s">
        <v>250</v>
      </c>
      <c r="B88" s="5" t="s">
        <v>99</v>
      </c>
      <c r="C88" s="5" t="s">
        <v>42</v>
      </c>
      <c r="D88" s="5" t="s">
        <v>251</v>
      </c>
      <c r="E88" s="6">
        <v>39.5</v>
      </c>
      <c r="F88" s="6">
        <v>9</v>
      </c>
      <c r="G88" s="6">
        <v>355.5</v>
      </c>
      <c r="H88" s="5" t="s">
        <v>27</v>
      </c>
      <c r="I88" s="5" t="s">
        <v>39</v>
      </c>
      <c r="J88" s="7">
        <v>44754</v>
      </c>
      <c r="K88" s="8" t="b">
        <v>0</v>
      </c>
      <c r="L88" s="9" t="s">
        <v>17</v>
      </c>
    </row>
    <row r="89" spans="1:12" ht="15.75" thickBot="1" x14ac:dyDescent="0.3">
      <c r="A89" s="10" t="s">
        <v>252</v>
      </c>
      <c r="B89" s="11" t="s">
        <v>149</v>
      </c>
      <c r="C89" s="11" t="s">
        <v>20</v>
      </c>
      <c r="D89" s="11" t="s">
        <v>253</v>
      </c>
      <c r="E89" s="12">
        <v>15.5</v>
      </c>
      <c r="F89" s="12">
        <v>8</v>
      </c>
      <c r="G89" s="12">
        <v>124</v>
      </c>
      <c r="H89" s="11" t="s">
        <v>51</v>
      </c>
      <c r="I89" s="11" t="s">
        <v>16</v>
      </c>
      <c r="J89" s="12" t="s">
        <v>254</v>
      </c>
      <c r="K89" s="11"/>
      <c r="L89" s="14" t="s">
        <v>35</v>
      </c>
    </row>
    <row r="90" spans="1:12" ht="15.75" thickBot="1" x14ac:dyDescent="0.3">
      <c r="A90" s="4" t="s">
        <v>255</v>
      </c>
      <c r="B90" s="5" t="s">
        <v>19</v>
      </c>
      <c r="C90" s="5" t="s">
        <v>30</v>
      </c>
      <c r="D90" s="5" t="s">
        <v>256</v>
      </c>
      <c r="E90" s="6">
        <v>9.5</v>
      </c>
      <c r="F90" s="6">
        <v>3</v>
      </c>
      <c r="G90" s="6">
        <v>28.5</v>
      </c>
      <c r="H90" s="5" t="s">
        <v>51</v>
      </c>
      <c r="I90" s="5" t="s">
        <v>39</v>
      </c>
      <c r="J90" s="6" t="s">
        <v>257</v>
      </c>
      <c r="K90" s="8" t="b">
        <v>0</v>
      </c>
      <c r="L90" s="9" t="s">
        <v>32</v>
      </c>
    </row>
    <row r="91" spans="1:12" ht="15.75" thickBot="1" x14ac:dyDescent="0.3">
      <c r="A91" s="10" t="s">
        <v>258</v>
      </c>
      <c r="B91" s="11" t="s">
        <v>136</v>
      </c>
      <c r="C91" s="11" t="s">
        <v>25</v>
      </c>
      <c r="D91" s="11" t="s">
        <v>259</v>
      </c>
      <c r="E91" s="12">
        <v>24.5</v>
      </c>
      <c r="F91" s="12">
        <v>2</v>
      </c>
      <c r="G91" s="12">
        <v>49</v>
      </c>
      <c r="H91" s="11" t="s">
        <v>27</v>
      </c>
      <c r="I91" s="11" t="s">
        <v>39</v>
      </c>
      <c r="J91" s="15">
        <v>45267</v>
      </c>
      <c r="K91" s="13" t="b">
        <v>1</v>
      </c>
      <c r="L91" s="14" t="s">
        <v>32</v>
      </c>
    </row>
    <row r="92" spans="1:12" ht="15.75" thickBot="1" x14ac:dyDescent="0.3">
      <c r="A92" s="4" t="s">
        <v>260</v>
      </c>
      <c r="B92" s="5" t="s">
        <v>99</v>
      </c>
      <c r="C92" s="5" t="s">
        <v>13</v>
      </c>
      <c r="D92" s="5" t="s">
        <v>261</v>
      </c>
      <c r="E92" s="6">
        <v>9.5</v>
      </c>
      <c r="F92" s="6">
        <v>5</v>
      </c>
      <c r="G92" s="6">
        <v>47.5</v>
      </c>
      <c r="H92" s="5" t="s">
        <v>51</v>
      </c>
      <c r="I92" s="5" t="s">
        <v>16</v>
      </c>
      <c r="J92" s="7">
        <v>45635</v>
      </c>
      <c r="K92" s="5"/>
      <c r="L92" s="9" t="s">
        <v>32</v>
      </c>
    </row>
    <row r="93" spans="1:12" ht="15.75" thickBot="1" x14ac:dyDescent="0.3">
      <c r="A93" s="10" t="s">
        <v>262</v>
      </c>
      <c r="B93" s="11" t="s">
        <v>117</v>
      </c>
      <c r="C93" s="11" t="s">
        <v>13</v>
      </c>
      <c r="D93" s="11" t="s">
        <v>203</v>
      </c>
      <c r="E93" s="12">
        <v>21.5</v>
      </c>
      <c r="F93" s="12">
        <v>9</v>
      </c>
      <c r="G93" s="12">
        <v>193.5</v>
      </c>
      <c r="H93" s="11" t="s">
        <v>51</v>
      </c>
      <c r="I93" s="11" t="s">
        <v>39</v>
      </c>
      <c r="J93" s="15">
        <v>44962</v>
      </c>
      <c r="K93" s="13" t="b">
        <v>1</v>
      </c>
      <c r="L93" s="14" t="s">
        <v>35</v>
      </c>
    </row>
    <row r="94" spans="1:12" ht="15.75" thickBot="1" x14ac:dyDescent="0.3">
      <c r="A94" s="4" t="s">
        <v>263</v>
      </c>
      <c r="B94" s="5" t="s">
        <v>136</v>
      </c>
      <c r="C94" s="5" t="s">
        <v>20</v>
      </c>
      <c r="D94" s="5" t="s">
        <v>264</v>
      </c>
      <c r="E94" s="6">
        <v>9.5</v>
      </c>
      <c r="F94" s="6">
        <v>4</v>
      </c>
      <c r="G94" s="6">
        <v>38</v>
      </c>
      <c r="H94" s="5" t="s">
        <v>15</v>
      </c>
      <c r="I94" s="5" t="s">
        <v>16</v>
      </c>
      <c r="J94" s="6" t="s">
        <v>265</v>
      </c>
      <c r="K94" s="8" t="b">
        <v>1</v>
      </c>
      <c r="L94" s="9" t="s">
        <v>32</v>
      </c>
    </row>
    <row r="95" spans="1:12" ht="45.75" thickBot="1" x14ac:dyDescent="0.3">
      <c r="A95" s="10" t="s">
        <v>266</v>
      </c>
      <c r="B95" s="11" t="s">
        <v>99</v>
      </c>
      <c r="C95" s="11" t="s">
        <v>158</v>
      </c>
      <c r="D95" s="11" t="s">
        <v>267</v>
      </c>
      <c r="E95" s="12">
        <v>14</v>
      </c>
      <c r="F95" s="12">
        <v>1</v>
      </c>
      <c r="G95" s="12">
        <v>14</v>
      </c>
      <c r="H95" s="11" t="s">
        <v>15</v>
      </c>
      <c r="I95" s="11" t="s">
        <v>16</v>
      </c>
      <c r="J95" s="12" t="s">
        <v>268</v>
      </c>
      <c r="K95" s="13" t="b">
        <v>1</v>
      </c>
      <c r="L95" s="14" t="s">
        <v>32</v>
      </c>
    </row>
    <row r="96" spans="1:12" ht="45.75" thickBot="1" x14ac:dyDescent="0.3">
      <c r="A96" s="4" t="s">
        <v>269</v>
      </c>
      <c r="B96" s="5" t="s">
        <v>106</v>
      </c>
      <c r="C96" s="5" t="s">
        <v>75</v>
      </c>
      <c r="D96" s="5" t="s">
        <v>87</v>
      </c>
      <c r="E96" s="6">
        <v>9.5</v>
      </c>
      <c r="F96" s="6">
        <v>8</v>
      </c>
      <c r="G96" s="6">
        <v>76</v>
      </c>
      <c r="H96" s="5" t="s">
        <v>51</v>
      </c>
      <c r="I96" s="5" t="s">
        <v>39</v>
      </c>
      <c r="J96" s="6" t="s">
        <v>270</v>
      </c>
      <c r="K96" s="5"/>
      <c r="L96" s="9" t="s">
        <v>32</v>
      </c>
    </row>
    <row r="97" spans="1:12" ht="45.75" thickBot="1" x14ac:dyDescent="0.3">
      <c r="A97" s="10" t="s">
        <v>271</v>
      </c>
      <c r="B97" s="11" t="s">
        <v>71</v>
      </c>
      <c r="C97" s="11" t="s">
        <v>75</v>
      </c>
      <c r="D97" s="11" t="s">
        <v>272</v>
      </c>
      <c r="E97" s="12">
        <v>12.5</v>
      </c>
      <c r="F97" s="12">
        <v>1</v>
      </c>
      <c r="G97" s="12">
        <v>12.5</v>
      </c>
      <c r="H97" s="11" t="s">
        <v>27</v>
      </c>
      <c r="I97" s="11" t="s">
        <v>39</v>
      </c>
      <c r="J97" s="12" t="s">
        <v>273</v>
      </c>
      <c r="K97" s="11"/>
      <c r="L97" s="14" t="s">
        <v>32</v>
      </c>
    </row>
    <row r="98" spans="1:12" ht="15.75" thickBot="1" x14ac:dyDescent="0.3">
      <c r="A98" s="4" t="s">
        <v>274</v>
      </c>
      <c r="B98" s="5" t="s">
        <v>78</v>
      </c>
      <c r="C98" s="5" t="s">
        <v>49</v>
      </c>
      <c r="D98" s="5" t="s">
        <v>275</v>
      </c>
      <c r="E98" s="6">
        <v>35</v>
      </c>
      <c r="F98" s="6">
        <v>4</v>
      </c>
      <c r="G98" s="6">
        <v>140</v>
      </c>
      <c r="H98" s="5" t="s">
        <v>51</v>
      </c>
      <c r="I98" s="5" t="s">
        <v>39</v>
      </c>
      <c r="J98" s="7">
        <v>45416</v>
      </c>
      <c r="K98" s="8" t="b">
        <v>0</v>
      </c>
      <c r="L98" s="9" t="s">
        <v>35</v>
      </c>
    </row>
    <row r="99" spans="1:12" ht="15.75" thickBot="1" x14ac:dyDescent="0.3">
      <c r="A99" s="10" t="s">
        <v>276</v>
      </c>
      <c r="B99" s="11" t="s">
        <v>41</v>
      </c>
      <c r="C99" s="11" t="s">
        <v>30</v>
      </c>
      <c r="D99" s="11" t="s">
        <v>112</v>
      </c>
      <c r="E99" s="12">
        <v>20</v>
      </c>
      <c r="F99" s="12">
        <v>6</v>
      </c>
      <c r="G99" s="12">
        <v>120</v>
      </c>
      <c r="H99" s="11" t="s">
        <v>51</v>
      </c>
      <c r="I99" s="11" t="s">
        <v>16</v>
      </c>
      <c r="J99" s="12" t="s">
        <v>277</v>
      </c>
      <c r="K99" s="13" t="b">
        <v>1</v>
      </c>
      <c r="L99" s="14" t="s">
        <v>35</v>
      </c>
    </row>
    <row r="100" spans="1:12" ht="15.75" thickBot="1" x14ac:dyDescent="0.3">
      <c r="A100" s="4" t="s">
        <v>278</v>
      </c>
      <c r="B100" s="5" t="s">
        <v>48</v>
      </c>
      <c r="C100" s="5" t="s">
        <v>30</v>
      </c>
      <c r="D100" s="5" t="s">
        <v>209</v>
      </c>
      <c r="E100" s="6">
        <v>30.5</v>
      </c>
      <c r="F100" s="6">
        <v>6</v>
      </c>
      <c r="G100" s="6">
        <v>183</v>
      </c>
      <c r="H100" s="5" t="s">
        <v>27</v>
      </c>
      <c r="I100" s="5" t="s">
        <v>39</v>
      </c>
      <c r="J100" s="6" t="s">
        <v>279</v>
      </c>
      <c r="K100" s="5"/>
      <c r="L100" s="9" t="s">
        <v>35</v>
      </c>
    </row>
    <row r="101" spans="1:12" ht="15.75" thickBot="1" x14ac:dyDescent="0.3">
      <c r="A101" s="10" t="s">
        <v>280</v>
      </c>
      <c r="B101" s="11" t="s">
        <v>37</v>
      </c>
      <c r="C101" s="11" t="s">
        <v>30</v>
      </c>
      <c r="D101" s="11" t="s">
        <v>231</v>
      </c>
      <c r="E101" s="12">
        <v>33.5</v>
      </c>
      <c r="F101" s="12">
        <v>10</v>
      </c>
      <c r="G101" s="12">
        <v>335</v>
      </c>
      <c r="H101" s="11" t="s">
        <v>51</v>
      </c>
      <c r="I101" s="11" t="s">
        <v>16</v>
      </c>
      <c r="J101" s="15">
        <v>45511</v>
      </c>
      <c r="K101" s="13" t="b">
        <v>0</v>
      </c>
      <c r="L101" s="14" t="s">
        <v>17</v>
      </c>
    </row>
    <row r="102" spans="1:12" ht="15.75" thickBot="1" x14ac:dyDescent="0.3">
      <c r="A102" s="4" t="s">
        <v>281</v>
      </c>
      <c r="B102" s="5" t="s">
        <v>78</v>
      </c>
      <c r="C102" s="5" t="s">
        <v>13</v>
      </c>
      <c r="D102" s="5" t="s">
        <v>282</v>
      </c>
      <c r="E102" s="6">
        <v>27.5</v>
      </c>
      <c r="F102" s="6">
        <v>6</v>
      </c>
      <c r="G102" s="6">
        <v>165</v>
      </c>
      <c r="H102" s="5" t="s">
        <v>51</v>
      </c>
      <c r="I102" s="5" t="s">
        <v>39</v>
      </c>
      <c r="J102" s="7">
        <v>45118</v>
      </c>
      <c r="K102" s="8" t="b">
        <v>0</v>
      </c>
      <c r="L102" s="9" t="s">
        <v>35</v>
      </c>
    </row>
    <row r="103" spans="1:12" ht="15.75" thickBot="1" x14ac:dyDescent="0.3">
      <c r="A103" s="10" t="s">
        <v>283</v>
      </c>
      <c r="B103" s="11" t="s">
        <v>90</v>
      </c>
      <c r="C103" s="11" t="s">
        <v>30</v>
      </c>
      <c r="D103" s="11" t="s">
        <v>209</v>
      </c>
      <c r="E103" s="12">
        <v>30.5</v>
      </c>
      <c r="F103" s="12">
        <v>10</v>
      </c>
      <c r="G103" s="12">
        <v>305</v>
      </c>
      <c r="H103" s="11" t="s">
        <v>51</v>
      </c>
      <c r="I103" s="11" t="s">
        <v>16</v>
      </c>
      <c r="J103" s="12" t="s">
        <v>284</v>
      </c>
      <c r="K103" s="11"/>
      <c r="L103" s="14" t="s">
        <v>17</v>
      </c>
    </row>
    <row r="104" spans="1:12" ht="45.75" thickBot="1" x14ac:dyDescent="0.3">
      <c r="A104" s="4" t="s">
        <v>285</v>
      </c>
      <c r="B104" s="5" t="s">
        <v>24</v>
      </c>
      <c r="C104" s="5" t="s">
        <v>158</v>
      </c>
      <c r="D104" s="5" t="s">
        <v>286</v>
      </c>
      <c r="E104" s="6">
        <v>41</v>
      </c>
      <c r="F104" s="6">
        <v>1</v>
      </c>
      <c r="G104" s="6">
        <v>41</v>
      </c>
      <c r="H104" s="5" t="s">
        <v>51</v>
      </c>
      <c r="I104" s="5" t="s">
        <v>39</v>
      </c>
      <c r="J104" s="7">
        <v>45423</v>
      </c>
      <c r="K104" s="8" t="b">
        <v>0</v>
      </c>
      <c r="L104" s="9" t="s">
        <v>32</v>
      </c>
    </row>
    <row r="105" spans="1:12" ht="15.75" thickBot="1" x14ac:dyDescent="0.3">
      <c r="A105" s="10" t="s">
        <v>287</v>
      </c>
      <c r="B105" s="11" t="s">
        <v>12</v>
      </c>
      <c r="C105" s="11" t="s">
        <v>49</v>
      </c>
      <c r="D105" s="11" t="s">
        <v>288</v>
      </c>
      <c r="E105" s="12">
        <v>15.5</v>
      </c>
      <c r="F105" s="12">
        <v>10</v>
      </c>
      <c r="G105" s="12">
        <v>155</v>
      </c>
      <c r="H105" s="11" t="s">
        <v>15</v>
      </c>
      <c r="I105" s="11" t="s">
        <v>39</v>
      </c>
      <c r="J105" s="15">
        <v>45081</v>
      </c>
      <c r="K105" s="13" t="b">
        <v>0</v>
      </c>
      <c r="L105" s="14" t="s">
        <v>35</v>
      </c>
    </row>
    <row r="106" spans="1:12" ht="45.75" thickBot="1" x14ac:dyDescent="0.3">
      <c r="A106" s="4" t="s">
        <v>289</v>
      </c>
      <c r="B106" s="5" t="s">
        <v>74</v>
      </c>
      <c r="C106" s="5" t="s">
        <v>158</v>
      </c>
      <c r="D106" s="5" t="s">
        <v>290</v>
      </c>
      <c r="E106" s="6">
        <v>18.5</v>
      </c>
      <c r="F106" s="6">
        <v>5</v>
      </c>
      <c r="G106" s="6">
        <v>92.5</v>
      </c>
      <c r="H106" s="5" t="s">
        <v>51</v>
      </c>
      <c r="I106" s="5" t="s">
        <v>16</v>
      </c>
      <c r="J106" s="6" t="s">
        <v>291</v>
      </c>
      <c r="K106" s="8" t="b">
        <v>0</v>
      </c>
      <c r="L106" s="9" t="s">
        <v>32</v>
      </c>
    </row>
    <row r="107" spans="1:12" ht="15.75" thickBot="1" x14ac:dyDescent="0.3">
      <c r="A107" s="10" t="s">
        <v>292</v>
      </c>
      <c r="B107" s="11" t="s">
        <v>60</v>
      </c>
      <c r="C107" s="11" t="s">
        <v>49</v>
      </c>
      <c r="D107" s="11" t="s">
        <v>199</v>
      </c>
      <c r="E107" s="12">
        <v>6.5</v>
      </c>
      <c r="F107" s="12">
        <v>3</v>
      </c>
      <c r="G107" s="12">
        <v>19.5</v>
      </c>
      <c r="H107" s="11" t="s">
        <v>15</v>
      </c>
      <c r="I107" s="11" t="s">
        <v>39</v>
      </c>
      <c r="J107" s="12" t="s">
        <v>293</v>
      </c>
      <c r="K107" s="13" t="b">
        <v>0</v>
      </c>
      <c r="L107" s="14" t="s">
        <v>32</v>
      </c>
    </row>
    <row r="108" spans="1:12" ht="15.75" thickBot="1" x14ac:dyDescent="0.3">
      <c r="A108" s="4" t="s">
        <v>294</v>
      </c>
      <c r="B108" s="5" t="s">
        <v>78</v>
      </c>
      <c r="C108" s="5" t="s">
        <v>42</v>
      </c>
      <c r="D108" s="5" t="s">
        <v>103</v>
      </c>
      <c r="E108" s="6">
        <v>41</v>
      </c>
      <c r="F108" s="6">
        <v>7</v>
      </c>
      <c r="G108" s="6">
        <v>287</v>
      </c>
      <c r="H108" s="5" t="s">
        <v>15</v>
      </c>
      <c r="I108" s="5" t="s">
        <v>39</v>
      </c>
      <c r="J108" s="7">
        <v>44595</v>
      </c>
      <c r="K108" s="8" t="b">
        <v>0</v>
      </c>
      <c r="L108" s="9" t="s">
        <v>17</v>
      </c>
    </row>
    <row r="109" spans="1:12" ht="15.75" thickBot="1" x14ac:dyDescent="0.3">
      <c r="A109" s="10" t="s">
        <v>295</v>
      </c>
      <c r="B109" s="11" t="s">
        <v>48</v>
      </c>
      <c r="C109" s="11" t="s">
        <v>42</v>
      </c>
      <c r="D109" s="11" t="s">
        <v>296</v>
      </c>
      <c r="E109" s="12">
        <v>11</v>
      </c>
      <c r="F109" s="12">
        <v>3</v>
      </c>
      <c r="G109" s="12">
        <v>33</v>
      </c>
      <c r="H109" s="11" t="s">
        <v>27</v>
      </c>
      <c r="I109" s="11" t="s">
        <v>39</v>
      </c>
      <c r="J109" s="15">
        <v>44683</v>
      </c>
      <c r="K109" s="13" t="b">
        <v>0</v>
      </c>
      <c r="L109" s="14" t="s">
        <v>32</v>
      </c>
    </row>
    <row r="110" spans="1:12" ht="15.75" thickBot="1" x14ac:dyDescent="0.3">
      <c r="A110" s="4" t="s">
        <v>297</v>
      </c>
      <c r="B110" s="5" t="s">
        <v>24</v>
      </c>
      <c r="C110" s="5" t="s">
        <v>49</v>
      </c>
      <c r="D110" s="5" t="s">
        <v>288</v>
      </c>
      <c r="E110" s="6">
        <v>15.5</v>
      </c>
      <c r="F110" s="6">
        <v>7</v>
      </c>
      <c r="G110" s="6">
        <v>108.5</v>
      </c>
      <c r="H110" s="5" t="s">
        <v>27</v>
      </c>
      <c r="I110" s="5" t="s">
        <v>39</v>
      </c>
      <c r="J110" s="6" t="s">
        <v>298</v>
      </c>
      <c r="K110" s="5"/>
      <c r="L110" s="9" t="s">
        <v>35</v>
      </c>
    </row>
    <row r="111" spans="1:12" ht="15.75" thickBot="1" x14ac:dyDescent="0.3">
      <c r="A111" s="10" t="s">
        <v>299</v>
      </c>
      <c r="B111" s="11" t="s">
        <v>90</v>
      </c>
      <c r="C111" s="11" t="s">
        <v>30</v>
      </c>
      <c r="D111" s="11" t="s">
        <v>197</v>
      </c>
      <c r="E111" s="12">
        <v>36.5</v>
      </c>
      <c r="F111" s="12">
        <v>3</v>
      </c>
      <c r="G111" s="12">
        <v>109.5</v>
      </c>
      <c r="H111" s="11" t="s">
        <v>27</v>
      </c>
      <c r="I111" s="11" t="s">
        <v>16</v>
      </c>
      <c r="J111" s="12" t="s">
        <v>300</v>
      </c>
      <c r="K111" s="11"/>
      <c r="L111" s="14" t="s">
        <v>35</v>
      </c>
    </row>
    <row r="112" spans="1:12" ht="15.75" thickBot="1" x14ac:dyDescent="0.3">
      <c r="A112" s="4" t="s">
        <v>301</v>
      </c>
      <c r="B112" s="5" t="s">
        <v>106</v>
      </c>
      <c r="C112" s="5" t="s">
        <v>30</v>
      </c>
      <c r="D112" s="5" t="s">
        <v>302</v>
      </c>
      <c r="E112" s="6">
        <v>17</v>
      </c>
      <c r="F112" s="6">
        <v>7</v>
      </c>
      <c r="G112" s="6">
        <v>119</v>
      </c>
      <c r="H112" s="5" t="s">
        <v>51</v>
      </c>
      <c r="I112" s="5" t="s">
        <v>39</v>
      </c>
      <c r="J112" s="7">
        <v>45362</v>
      </c>
      <c r="K112" s="8" t="b">
        <v>0</v>
      </c>
      <c r="L112" s="9" t="s">
        <v>35</v>
      </c>
    </row>
    <row r="113" spans="1:12" ht="45.75" thickBot="1" x14ac:dyDescent="0.3">
      <c r="A113" s="10" t="s">
        <v>303</v>
      </c>
      <c r="B113" s="11" t="s">
        <v>44</v>
      </c>
      <c r="C113" s="11" t="s">
        <v>158</v>
      </c>
      <c r="D113" s="11"/>
      <c r="E113" s="12">
        <v>20</v>
      </c>
      <c r="F113" s="11"/>
      <c r="G113" s="11"/>
      <c r="H113" s="11" t="s">
        <v>15</v>
      </c>
      <c r="I113" s="11" t="s">
        <v>16</v>
      </c>
      <c r="J113" s="12" t="s">
        <v>304</v>
      </c>
      <c r="K113" s="13" t="b">
        <v>0</v>
      </c>
      <c r="L113" s="14" t="s">
        <v>32</v>
      </c>
    </row>
    <row r="114" spans="1:12" ht="45.75" thickBot="1" x14ac:dyDescent="0.3">
      <c r="A114" s="4" t="s">
        <v>305</v>
      </c>
      <c r="B114" s="5" t="s">
        <v>130</v>
      </c>
      <c r="C114" s="5" t="s">
        <v>158</v>
      </c>
      <c r="D114" s="5" t="s">
        <v>306</v>
      </c>
      <c r="E114" s="6">
        <v>35</v>
      </c>
      <c r="F114" s="6">
        <v>8</v>
      </c>
      <c r="G114" s="6">
        <v>280</v>
      </c>
      <c r="H114" s="5" t="s">
        <v>15</v>
      </c>
      <c r="I114" s="5" t="s">
        <v>16</v>
      </c>
      <c r="J114" s="7">
        <v>44781</v>
      </c>
      <c r="K114" s="8" t="b">
        <v>1</v>
      </c>
      <c r="L114" s="9" t="s">
        <v>17</v>
      </c>
    </row>
    <row r="115" spans="1:12" ht="15.75" thickBot="1" x14ac:dyDescent="0.3">
      <c r="A115" s="10" t="s">
        <v>307</v>
      </c>
      <c r="B115" s="11" t="s">
        <v>206</v>
      </c>
      <c r="C115" s="11" t="s">
        <v>25</v>
      </c>
      <c r="D115" s="11"/>
      <c r="E115" s="12">
        <v>39.5</v>
      </c>
      <c r="F115" s="11"/>
      <c r="G115" s="11"/>
      <c r="H115" s="11" t="s">
        <v>15</v>
      </c>
      <c r="I115" s="11" t="s">
        <v>16</v>
      </c>
      <c r="J115" s="15">
        <v>45352</v>
      </c>
      <c r="K115" s="13" t="b">
        <v>0</v>
      </c>
      <c r="L115" s="14" t="s">
        <v>32</v>
      </c>
    </row>
    <row r="116" spans="1:12" ht="45.75" thickBot="1" x14ac:dyDescent="0.3">
      <c r="A116" s="4" t="s">
        <v>308</v>
      </c>
      <c r="B116" s="5" t="s">
        <v>48</v>
      </c>
      <c r="C116" s="5" t="s">
        <v>158</v>
      </c>
      <c r="D116" s="5" t="s">
        <v>309</v>
      </c>
      <c r="E116" s="6">
        <v>15.5</v>
      </c>
      <c r="F116" s="6">
        <v>10</v>
      </c>
      <c r="G116" s="6">
        <v>155</v>
      </c>
      <c r="H116" s="5" t="s">
        <v>51</v>
      </c>
      <c r="I116" s="5" t="s">
        <v>39</v>
      </c>
      <c r="J116" s="6" t="s">
        <v>310</v>
      </c>
      <c r="K116" s="8" t="b">
        <v>0</v>
      </c>
      <c r="L116" s="9" t="s">
        <v>35</v>
      </c>
    </row>
    <row r="117" spans="1:12" ht="45.75" thickBot="1" x14ac:dyDescent="0.3">
      <c r="A117" s="10" t="s">
        <v>311</v>
      </c>
      <c r="B117" s="11" t="s">
        <v>37</v>
      </c>
      <c r="C117" s="11" t="s">
        <v>158</v>
      </c>
      <c r="D117" s="11" t="s">
        <v>286</v>
      </c>
      <c r="E117" s="12">
        <v>41</v>
      </c>
      <c r="F117" s="12">
        <v>7</v>
      </c>
      <c r="G117" s="12">
        <v>287</v>
      </c>
      <c r="H117" s="11" t="s">
        <v>51</v>
      </c>
      <c r="I117" s="11" t="s">
        <v>16</v>
      </c>
      <c r="J117" s="15">
        <v>44684</v>
      </c>
      <c r="K117" s="11"/>
      <c r="L117" s="14" t="s">
        <v>17</v>
      </c>
    </row>
    <row r="118" spans="1:12" ht="45.75" thickBot="1" x14ac:dyDescent="0.3">
      <c r="A118" s="4" t="s">
        <v>312</v>
      </c>
      <c r="B118" s="5" t="s">
        <v>48</v>
      </c>
      <c r="C118" s="5" t="s">
        <v>75</v>
      </c>
      <c r="D118" s="5" t="s">
        <v>313</v>
      </c>
      <c r="E118" s="6">
        <v>15.5</v>
      </c>
      <c r="F118" s="6">
        <v>4</v>
      </c>
      <c r="G118" s="6">
        <v>62</v>
      </c>
      <c r="H118" s="5" t="s">
        <v>15</v>
      </c>
      <c r="I118" s="5" t="s">
        <v>39</v>
      </c>
      <c r="J118" s="6" t="s">
        <v>314</v>
      </c>
      <c r="K118" s="8" t="b">
        <v>0</v>
      </c>
      <c r="L118" s="9" t="s">
        <v>32</v>
      </c>
    </row>
    <row r="119" spans="1:12" ht="45.75" thickBot="1" x14ac:dyDescent="0.3">
      <c r="A119" s="10" t="s">
        <v>315</v>
      </c>
      <c r="B119" s="11" t="s">
        <v>130</v>
      </c>
      <c r="C119" s="11" t="s">
        <v>158</v>
      </c>
      <c r="D119" s="11"/>
      <c r="E119" s="12">
        <v>27.5</v>
      </c>
      <c r="F119" s="11"/>
      <c r="G119" s="11"/>
      <c r="H119" s="11" t="s">
        <v>27</v>
      </c>
      <c r="I119" s="11" t="s">
        <v>16</v>
      </c>
      <c r="J119" s="15">
        <v>44775</v>
      </c>
      <c r="K119" s="13" t="b">
        <v>0</v>
      </c>
      <c r="L119" s="14" t="s">
        <v>32</v>
      </c>
    </row>
    <row r="120" spans="1:12" ht="15.75" thickBot="1" x14ac:dyDescent="0.3">
      <c r="A120" s="4" t="s">
        <v>316</v>
      </c>
      <c r="B120" s="5" t="s">
        <v>12</v>
      </c>
      <c r="C120" s="5" t="s">
        <v>30</v>
      </c>
      <c r="D120" s="5" t="s">
        <v>152</v>
      </c>
      <c r="E120" s="6">
        <v>8</v>
      </c>
      <c r="F120" s="6">
        <v>4</v>
      </c>
      <c r="G120" s="6">
        <v>32</v>
      </c>
      <c r="H120" s="5" t="s">
        <v>27</v>
      </c>
      <c r="I120" s="5" t="s">
        <v>39</v>
      </c>
      <c r="J120" s="6" t="s">
        <v>317</v>
      </c>
      <c r="K120" s="8" t="b">
        <v>0</v>
      </c>
      <c r="L120" s="9" t="s">
        <v>32</v>
      </c>
    </row>
    <row r="121" spans="1:12" ht="15.75" thickBot="1" x14ac:dyDescent="0.3">
      <c r="A121" s="10" t="s">
        <v>318</v>
      </c>
      <c r="B121" s="11" t="s">
        <v>74</v>
      </c>
      <c r="C121" s="11" t="s">
        <v>20</v>
      </c>
      <c r="D121" s="11" t="s">
        <v>319</v>
      </c>
      <c r="E121" s="12">
        <v>38</v>
      </c>
      <c r="F121" s="12">
        <v>10</v>
      </c>
      <c r="G121" s="12">
        <v>380</v>
      </c>
      <c r="H121" s="11" t="s">
        <v>15</v>
      </c>
      <c r="I121" s="11" t="s">
        <v>39</v>
      </c>
      <c r="J121" s="12" t="s">
        <v>320</v>
      </c>
      <c r="K121" s="11"/>
      <c r="L121" s="14" t="s">
        <v>17</v>
      </c>
    </row>
    <row r="122" spans="1:12" ht="15.75" thickBot="1" x14ac:dyDescent="0.3">
      <c r="A122" s="4" t="s">
        <v>321</v>
      </c>
      <c r="B122" s="5" t="s">
        <v>48</v>
      </c>
      <c r="C122" s="5" t="s">
        <v>25</v>
      </c>
      <c r="D122" s="5" t="s">
        <v>322</v>
      </c>
      <c r="E122" s="6">
        <v>38</v>
      </c>
      <c r="F122" s="6">
        <v>8</v>
      </c>
      <c r="G122" s="6">
        <v>304</v>
      </c>
      <c r="H122" s="5" t="s">
        <v>51</v>
      </c>
      <c r="I122" s="5" t="s">
        <v>16</v>
      </c>
      <c r="J122" s="6" t="s">
        <v>323</v>
      </c>
      <c r="K122" s="8" t="b">
        <v>1</v>
      </c>
      <c r="L122" s="9" t="s">
        <v>17</v>
      </c>
    </row>
    <row r="123" spans="1:12" ht="15.75" thickBot="1" x14ac:dyDescent="0.3">
      <c r="A123" s="10" t="s">
        <v>324</v>
      </c>
      <c r="B123" s="11" t="s">
        <v>99</v>
      </c>
      <c r="C123" s="11" t="s">
        <v>49</v>
      </c>
      <c r="D123" s="11" t="s">
        <v>288</v>
      </c>
      <c r="E123" s="12">
        <v>15.5</v>
      </c>
      <c r="F123" s="12">
        <v>9</v>
      </c>
      <c r="G123" s="12">
        <v>139.5</v>
      </c>
      <c r="H123" s="11" t="s">
        <v>27</v>
      </c>
      <c r="I123" s="11" t="s">
        <v>39</v>
      </c>
      <c r="J123" s="15">
        <v>45570</v>
      </c>
      <c r="K123" s="11"/>
      <c r="L123" s="14" t="s">
        <v>35</v>
      </c>
    </row>
    <row r="124" spans="1:12" ht="15.75" thickBot="1" x14ac:dyDescent="0.3">
      <c r="A124" s="4" t="s">
        <v>325</v>
      </c>
      <c r="B124" s="5" t="s">
        <v>71</v>
      </c>
      <c r="C124" s="5" t="s">
        <v>42</v>
      </c>
      <c r="D124" s="5" t="s">
        <v>175</v>
      </c>
      <c r="E124" s="6">
        <v>38</v>
      </c>
      <c r="F124" s="6">
        <v>3</v>
      </c>
      <c r="G124" s="6">
        <v>114</v>
      </c>
      <c r="H124" s="5" t="s">
        <v>15</v>
      </c>
      <c r="I124" s="5" t="s">
        <v>16</v>
      </c>
      <c r="J124" s="7">
        <v>44750</v>
      </c>
      <c r="K124" s="5"/>
      <c r="L124" s="9" t="s">
        <v>35</v>
      </c>
    </row>
    <row r="125" spans="1:12" ht="15.75" thickBot="1" x14ac:dyDescent="0.3">
      <c r="A125" s="10" t="s">
        <v>326</v>
      </c>
      <c r="B125" s="11" t="s">
        <v>48</v>
      </c>
      <c r="C125" s="11" t="s">
        <v>25</v>
      </c>
      <c r="D125" s="11" t="s">
        <v>327</v>
      </c>
      <c r="E125" s="12">
        <v>32</v>
      </c>
      <c r="F125" s="12">
        <v>6</v>
      </c>
      <c r="G125" s="12">
        <v>192</v>
      </c>
      <c r="H125" s="11" t="s">
        <v>27</v>
      </c>
      <c r="I125" s="11" t="s">
        <v>39</v>
      </c>
      <c r="J125" s="12" t="s">
        <v>328</v>
      </c>
      <c r="K125" s="13" t="b">
        <v>1</v>
      </c>
      <c r="L125" s="14" t="s">
        <v>35</v>
      </c>
    </row>
    <row r="126" spans="1:12" ht="15.75" thickBot="1" x14ac:dyDescent="0.3">
      <c r="A126" s="4" t="s">
        <v>329</v>
      </c>
      <c r="B126" s="5" t="s">
        <v>94</v>
      </c>
      <c r="C126" s="5" t="s">
        <v>25</v>
      </c>
      <c r="D126" s="5" t="s">
        <v>330</v>
      </c>
      <c r="E126" s="6">
        <v>33.5</v>
      </c>
      <c r="F126" s="6">
        <v>5</v>
      </c>
      <c r="G126" s="6">
        <v>167.5</v>
      </c>
      <c r="H126" s="5" t="s">
        <v>51</v>
      </c>
      <c r="I126" s="5" t="s">
        <v>16</v>
      </c>
      <c r="J126" s="7">
        <v>45543</v>
      </c>
      <c r="K126" s="8" t="b">
        <v>0</v>
      </c>
      <c r="L126" s="9" t="s">
        <v>35</v>
      </c>
    </row>
    <row r="127" spans="1:12" ht="15.75" thickBot="1" x14ac:dyDescent="0.3">
      <c r="A127" s="10" t="s">
        <v>331</v>
      </c>
      <c r="B127" s="11" t="s">
        <v>94</v>
      </c>
      <c r="C127" s="11" t="s">
        <v>13</v>
      </c>
      <c r="D127" s="11" t="s">
        <v>14</v>
      </c>
      <c r="E127" s="12">
        <v>18.5</v>
      </c>
      <c r="F127" s="12">
        <v>5</v>
      </c>
      <c r="G127" s="12">
        <v>92.5</v>
      </c>
      <c r="H127" s="11" t="s">
        <v>51</v>
      </c>
      <c r="I127" s="11" t="s">
        <v>39</v>
      </c>
      <c r="J127" s="12" t="s">
        <v>332</v>
      </c>
      <c r="K127" s="13" t="b">
        <v>0</v>
      </c>
      <c r="L127" s="14" t="s">
        <v>32</v>
      </c>
    </row>
    <row r="128" spans="1:12" ht="15.75" thickBot="1" x14ac:dyDescent="0.3">
      <c r="A128" s="4" t="s">
        <v>333</v>
      </c>
      <c r="B128" s="5" t="s">
        <v>41</v>
      </c>
      <c r="C128" s="5" t="s">
        <v>49</v>
      </c>
      <c r="D128" s="5"/>
      <c r="E128" s="5"/>
      <c r="F128" s="6">
        <v>10</v>
      </c>
      <c r="G128" s="6">
        <v>275</v>
      </c>
      <c r="H128" s="5" t="s">
        <v>15</v>
      </c>
      <c r="I128" s="5" t="s">
        <v>16</v>
      </c>
      <c r="J128" s="7">
        <v>44571</v>
      </c>
      <c r="K128" s="8" t="b">
        <v>0</v>
      </c>
      <c r="L128" s="9" t="s">
        <v>17</v>
      </c>
    </row>
    <row r="129" spans="1:12" ht="15.75" thickBot="1" x14ac:dyDescent="0.3">
      <c r="A129" s="10" t="s">
        <v>334</v>
      </c>
      <c r="B129" s="11" t="s">
        <v>74</v>
      </c>
      <c r="C129" s="11" t="s">
        <v>42</v>
      </c>
      <c r="D129" s="11" t="s">
        <v>296</v>
      </c>
      <c r="E129" s="12">
        <v>11</v>
      </c>
      <c r="F129" s="12">
        <v>8</v>
      </c>
      <c r="G129" s="12">
        <v>88</v>
      </c>
      <c r="H129" s="11" t="s">
        <v>15</v>
      </c>
      <c r="I129" s="11" t="s">
        <v>16</v>
      </c>
      <c r="J129" s="12" t="s">
        <v>335</v>
      </c>
      <c r="K129" s="13" t="b">
        <v>0</v>
      </c>
      <c r="L129" s="14" t="s">
        <v>32</v>
      </c>
    </row>
    <row r="130" spans="1:12" ht="15.75" thickBot="1" x14ac:dyDescent="0.3">
      <c r="A130" s="4" t="s">
        <v>336</v>
      </c>
      <c r="B130" s="5" t="s">
        <v>136</v>
      </c>
      <c r="C130" s="5" t="s">
        <v>30</v>
      </c>
      <c r="D130" s="5" t="s">
        <v>337</v>
      </c>
      <c r="E130" s="6">
        <v>39.5</v>
      </c>
      <c r="F130" s="6">
        <v>10</v>
      </c>
      <c r="G130" s="6">
        <v>395</v>
      </c>
      <c r="H130" s="5" t="s">
        <v>51</v>
      </c>
      <c r="I130" s="5" t="s">
        <v>16</v>
      </c>
      <c r="J130" s="6" t="s">
        <v>338</v>
      </c>
      <c r="K130" s="5"/>
      <c r="L130" s="9" t="s">
        <v>17</v>
      </c>
    </row>
    <row r="131" spans="1:12" ht="15.75" thickBot="1" x14ac:dyDescent="0.3">
      <c r="A131" s="10" t="s">
        <v>339</v>
      </c>
      <c r="B131" s="11" t="s">
        <v>130</v>
      </c>
      <c r="C131" s="11" t="s">
        <v>20</v>
      </c>
      <c r="D131" s="11" t="s">
        <v>340</v>
      </c>
      <c r="E131" s="12">
        <v>35</v>
      </c>
      <c r="F131" s="12">
        <v>2</v>
      </c>
      <c r="G131" s="12">
        <v>70</v>
      </c>
      <c r="H131" s="11" t="s">
        <v>27</v>
      </c>
      <c r="I131" s="11" t="s">
        <v>39</v>
      </c>
      <c r="J131" s="12" t="s">
        <v>341</v>
      </c>
      <c r="K131" s="13" t="b">
        <v>0</v>
      </c>
      <c r="L131" s="14" t="s">
        <v>32</v>
      </c>
    </row>
    <row r="132" spans="1:12" ht="15.75" thickBot="1" x14ac:dyDescent="0.3">
      <c r="A132" s="4" t="s">
        <v>342</v>
      </c>
      <c r="B132" s="5" t="s">
        <v>120</v>
      </c>
      <c r="C132" s="5" t="s">
        <v>42</v>
      </c>
      <c r="D132" s="5" t="s">
        <v>251</v>
      </c>
      <c r="E132" s="6">
        <v>39.5</v>
      </c>
      <c r="F132" s="6">
        <v>4</v>
      </c>
      <c r="G132" s="6">
        <v>158</v>
      </c>
      <c r="H132" s="5" t="s">
        <v>15</v>
      </c>
      <c r="I132" s="5" t="s">
        <v>39</v>
      </c>
      <c r="J132" s="6" t="s">
        <v>343</v>
      </c>
      <c r="K132" s="8" t="b">
        <v>1</v>
      </c>
      <c r="L132" s="9" t="s">
        <v>35</v>
      </c>
    </row>
    <row r="133" spans="1:12" ht="15.75" thickBot="1" x14ac:dyDescent="0.3">
      <c r="A133" s="10" t="s">
        <v>344</v>
      </c>
      <c r="B133" s="11" t="s">
        <v>99</v>
      </c>
      <c r="C133" s="11" t="s">
        <v>25</v>
      </c>
      <c r="D133" s="11" t="s">
        <v>345</v>
      </c>
      <c r="E133" s="12">
        <v>12.5</v>
      </c>
      <c r="F133" s="12">
        <v>2</v>
      </c>
      <c r="G133" s="12">
        <v>25</v>
      </c>
      <c r="H133" s="11" t="s">
        <v>51</v>
      </c>
      <c r="I133" s="11" t="s">
        <v>39</v>
      </c>
      <c r="J133" s="15">
        <v>45047</v>
      </c>
      <c r="K133" s="13" t="b">
        <v>0</v>
      </c>
      <c r="L133" s="14" t="s">
        <v>32</v>
      </c>
    </row>
    <row r="134" spans="1:12" ht="15.75" thickBot="1" x14ac:dyDescent="0.3">
      <c r="A134" s="4" t="s">
        <v>346</v>
      </c>
      <c r="B134" s="5" t="s">
        <v>48</v>
      </c>
      <c r="C134" s="5" t="s">
        <v>42</v>
      </c>
      <c r="D134" s="5" t="s">
        <v>103</v>
      </c>
      <c r="E134" s="6">
        <v>41</v>
      </c>
      <c r="F134" s="6">
        <v>10</v>
      </c>
      <c r="G134" s="6">
        <v>410</v>
      </c>
      <c r="H134" s="5" t="s">
        <v>27</v>
      </c>
      <c r="I134" s="5" t="s">
        <v>39</v>
      </c>
      <c r="J134" s="7">
        <v>45207</v>
      </c>
      <c r="K134" s="5"/>
      <c r="L134" s="9" t="s">
        <v>17</v>
      </c>
    </row>
    <row r="135" spans="1:12" ht="15.75" thickBot="1" x14ac:dyDescent="0.3">
      <c r="A135" s="10" t="s">
        <v>347</v>
      </c>
      <c r="B135" s="11" t="s">
        <v>99</v>
      </c>
      <c r="C135" s="11" t="s">
        <v>20</v>
      </c>
      <c r="D135" s="11" t="s">
        <v>348</v>
      </c>
      <c r="E135" s="12">
        <v>5</v>
      </c>
      <c r="F135" s="12">
        <v>10</v>
      </c>
      <c r="G135" s="12">
        <v>50</v>
      </c>
      <c r="H135" s="11" t="s">
        <v>15</v>
      </c>
      <c r="I135" s="11" t="s">
        <v>16</v>
      </c>
      <c r="J135" s="15">
        <v>44867</v>
      </c>
      <c r="K135" s="13" t="b">
        <v>1</v>
      </c>
      <c r="L135" s="14" t="s">
        <v>32</v>
      </c>
    </row>
    <row r="136" spans="1:12" ht="15.75" thickBot="1" x14ac:dyDescent="0.3">
      <c r="A136" s="4" t="s">
        <v>349</v>
      </c>
      <c r="B136" s="5" t="s">
        <v>29</v>
      </c>
      <c r="C136" s="5" t="s">
        <v>20</v>
      </c>
      <c r="D136" s="5" t="s">
        <v>350</v>
      </c>
      <c r="E136" s="6">
        <v>39.5</v>
      </c>
      <c r="F136" s="6">
        <v>10</v>
      </c>
      <c r="G136" s="6">
        <v>395</v>
      </c>
      <c r="H136" s="5" t="s">
        <v>15</v>
      </c>
      <c r="I136" s="5" t="s">
        <v>16</v>
      </c>
      <c r="J136" s="6" t="s">
        <v>351</v>
      </c>
      <c r="K136" s="5"/>
      <c r="L136" s="9" t="s">
        <v>17</v>
      </c>
    </row>
    <row r="137" spans="1:12" ht="45.75" thickBot="1" x14ac:dyDescent="0.3">
      <c r="A137" s="10" t="s">
        <v>352</v>
      </c>
      <c r="B137" s="11" t="s">
        <v>94</v>
      </c>
      <c r="C137" s="11" t="s">
        <v>158</v>
      </c>
      <c r="D137" s="11" t="s">
        <v>353</v>
      </c>
      <c r="E137" s="12">
        <v>6.5</v>
      </c>
      <c r="F137" s="12">
        <v>5</v>
      </c>
      <c r="G137" s="12">
        <v>32.5</v>
      </c>
      <c r="H137" s="11" t="s">
        <v>15</v>
      </c>
      <c r="I137" s="11" t="s">
        <v>16</v>
      </c>
      <c r="J137" s="12" t="s">
        <v>279</v>
      </c>
      <c r="K137" s="11"/>
      <c r="L137" s="14" t="s">
        <v>32</v>
      </c>
    </row>
    <row r="138" spans="1:12" ht="15.75" thickBot="1" x14ac:dyDescent="0.3">
      <c r="A138" s="4" t="s">
        <v>354</v>
      </c>
      <c r="B138" s="5" t="s">
        <v>19</v>
      </c>
      <c r="C138" s="5" t="s">
        <v>49</v>
      </c>
      <c r="D138" s="5" t="s">
        <v>355</v>
      </c>
      <c r="E138" s="6">
        <v>30.5</v>
      </c>
      <c r="F138" s="6">
        <v>4</v>
      </c>
      <c r="G138" s="6">
        <v>122</v>
      </c>
      <c r="H138" s="5" t="s">
        <v>15</v>
      </c>
      <c r="I138" s="5" t="s">
        <v>16</v>
      </c>
      <c r="J138" s="6" t="s">
        <v>356</v>
      </c>
      <c r="K138" s="8" t="b">
        <v>1</v>
      </c>
      <c r="L138" s="9" t="s">
        <v>35</v>
      </c>
    </row>
    <row r="139" spans="1:12" ht="15.75" thickBot="1" x14ac:dyDescent="0.3">
      <c r="A139" s="10" t="s">
        <v>357</v>
      </c>
      <c r="B139" s="11" t="s">
        <v>48</v>
      </c>
      <c r="C139" s="11" t="s">
        <v>42</v>
      </c>
      <c r="D139" s="11"/>
      <c r="E139" s="12">
        <v>35</v>
      </c>
      <c r="F139" s="11"/>
      <c r="G139" s="11"/>
      <c r="H139" s="11" t="s">
        <v>27</v>
      </c>
      <c r="I139" s="11" t="s">
        <v>16</v>
      </c>
      <c r="J139" s="12" t="s">
        <v>358</v>
      </c>
      <c r="K139" s="13" t="b">
        <v>0</v>
      </c>
      <c r="L139" s="14" t="s">
        <v>32</v>
      </c>
    </row>
    <row r="140" spans="1:12" ht="15.75" thickBot="1" x14ac:dyDescent="0.3">
      <c r="A140" s="4" t="s">
        <v>359</v>
      </c>
      <c r="B140" s="5" t="s">
        <v>71</v>
      </c>
      <c r="C140" s="5" t="s">
        <v>42</v>
      </c>
      <c r="D140" s="5"/>
      <c r="E140" s="6">
        <v>24.5</v>
      </c>
      <c r="F140" s="5"/>
      <c r="G140" s="5"/>
      <c r="H140" s="5" t="s">
        <v>51</v>
      </c>
      <c r="I140" s="5" t="s">
        <v>39</v>
      </c>
      <c r="J140" s="6" t="s">
        <v>360</v>
      </c>
      <c r="K140" s="8" t="b">
        <v>1</v>
      </c>
      <c r="L140" s="9" t="s">
        <v>32</v>
      </c>
    </row>
    <row r="141" spans="1:12" ht="15.75" thickBot="1" x14ac:dyDescent="0.3">
      <c r="A141" s="10" t="s">
        <v>361</v>
      </c>
      <c r="B141" s="11" t="s">
        <v>140</v>
      </c>
      <c r="C141" s="11" t="s">
        <v>42</v>
      </c>
      <c r="D141" s="11" t="s">
        <v>362</v>
      </c>
      <c r="E141" s="12">
        <v>5</v>
      </c>
      <c r="F141" s="12">
        <v>3</v>
      </c>
      <c r="G141" s="12">
        <v>15</v>
      </c>
      <c r="H141" s="11" t="s">
        <v>15</v>
      </c>
      <c r="I141" s="11" t="s">
        <v>16</v>
      </c>
      <c r="J141" s="12" t="s">
        <v>363</v>
      </c>
      <c r="K141" s="13" t="b">
        <v>0</v>
      </c>
      <c r="L141" s="14" t="s">
        <v>32</v>
      </c>
    </row>
    <row r="142" spans="1:12" ht="15.75" thickBot="1" x14ac:dyDescent="0.3">
      <c r="A142" s="4" t="s">
        <v>364</v>
      </c>
      <c r="B142" s="5" t="s">
        <v>12</v>
      </c>
      <c r="C142" s="5" t="s">
        <v>25</v>
      </c>
      <c r="D142" s="5" t="s">
        <v>330</v>
      </c>
      <c r="E142" s="6">
        <v>33.5</v>
      </c>
      <c r="F142" s="6">
        <v>1</v>
      </c>
      <c r="G142" s="6">
        <v>33.5</v>
      </c>
      <c r="H142" s="5" t="s">
        <v>27</v>
      </c>
      <c r="I142" s="5" t="s">
        <v>16</v>
      </c>
      <c r="J142" s="6" t="s">
        <v>365</v>
      </c>
      <c r="K142" s="5"/>
      <c r="L142" s="9" t="s">
        <v>32</v>
      </c>
    </row>
    <row r="143" spans="1:12" ht="15.75" thickBot="1" x14ac:dyDescent="0.3">
      <c r="A143" s="10" t="s">
        <v>366</v>
      </c>
      <c r="B143" s="11" t="s">
        <v>44</v>
      </c>
      <c r="C143" s="11" t="s">
        <v>20</v>
      </c>
      <c r="D143" s="11" t="s">
        <v>367</v>
      </c>
      <c r="E143" s="12">
        <v>8</v>
      </c>
      <c r="F143" s="12">
        <v>3</v>
      </c>
      <c r="G143" s="12">
        <v>24</v>
      </c>
      <c r="H143" s="11" t="s">
        <v>51</v>
      </c>
      <c r="I143" s="11" t="s">
        <v>39</v>
      </c>
      <c r="J143" s="15">
        <v>45200</v>
      </c>
      <c r="K143" s="11"/>
      <c r="L143" s="14" t="s">
        <v>32</v>
      </c>
    </row>
    <row r="144" spans="1:12" ht="45.75" thickBot="1" x14ac:dyDescent="0.3">
      <c r="A144" s="4" t="s">
        <v>368</v>
      </c>
      <c r="B144" s="5" t="s">
        <v>206</v>
      </c>
      <c r="C144" s="5" t="s">
        <v>75</v>
      </c>
      <c r="D144" s="5" t="s">
        <v>144</v>
      </c>
      <c r="E144" s="6">
        <v>18.5</v>
      </c>
      <c r="F144" s="6">
        <v>6</v>
      </c>
      <c r="G144" s="6">
        <v>111</v>
      </c>
      <c r="H144" s="5" t="s">
        <v>27</v>
      </c>
      <c r="I144" s="5" t="s">
        <v>16</v>
      </c>
      <c r="J144" s="7">
        <v>45393</v>
      </c>
      <c r="K144" s="5"/>
      <c r="L144" s="9" t="s">
        <v>35</v>
      </c>
    </row>
    <row r="145" spans="1:12" ht="15.75" thickBot="1" x14ac:dyDescent="0.3">
      <c r="A145" s="10" t="s">
        <v>369</v>
      </c>
      <c r="B145" s="11" t="s">
        <v>136</v>
      </c>
      <c r="C145" s="11" t="s">
        <v>20</v>
      </c>
      <c r="D145" s="11" t="s">
        <v>370</v>
      </c>
      <c r="E145" s="12">
        <v>20</v>
      </c>
      <c r="F145" s="12">
        <v>6</v>
      </c>
      <c r="G145" s="12">
        <v>120</v>
      </c>
      <c r="H145" s="11" t="s">
        <v>27</v>
      </c>
      <c r="I145" s="11" t="s">
        <v>16</v>
      </c>
      <c r="J145" s="12" t="s">
        <v>371</v>
      </c>
      <c r="K145" s="13" t="b">
        <v>1</v>
      </c>
      <c r="L145" s="14" t="s">
        <v>35</v>
      </c>
    </row>
    <row r="146" spans="1:12" ht="15.75" thickBot="1" x14ac:dyDescent="0.3">
      <c r="A146" s="4" t="s">
        <v>372</v>
      </c>
      <c r="B146" s="5" t="s">
        <v>37</v>
      </c>
      <c r="C146" s="5" t="s">
        <v>49</v>
      </c>
      <c r="D146" s="5" t="s">
        <v>54</v>
      </c>
      <c r="E146" s="6">
        <v>8</v>
      </c>
      <c r="F146" s="6">
        <v>5</v>
      </c>
      <c r="G146" s="6">
        <v>40</v>
      </c>
      <c r="H146" s="5" t="s">
        <v>27</v>
      </c>
      <c r="I146" s="5" t="s">
        <v>39</v>
      </c>
      <c r="J146" s="6" t="s">
        <v>373</v>
      </c>
      <c r="K146" s="8" t="b">
        <v>1</v>
      </c>
      <c r="L146" s="9" t="s">
        <v>32</v>
      </c>
    </row>
    <row r="147" spans="1:12" ht="15.75" thickBot="1" x14ac:dyDescent="0.3">
      <c r="A147" s="10" t="s">
        <v>374</v>
      </c>
      <c r="B147" s="11" t="s">
        <v>41</v>
      </c>
      <c r="C147" s="11" t="s">
        <v>30</v>
      </c>
      <c r="D147" s="11" t="s">
        <v>337</v>
      </c>
      <c r="E147" s="12">
        <v>39.5</v>
      </c>
      <c r="F147" s="12">
        <v>10</v>
      </c>
      <c r="G147" s="12">
        <v>395</v>
      </c>
      <c r="H147" s="11" t="s">
        <v>27</v>
      </c>
      <c r="I147" s="11" t="s">
        <v>16</v>
      </c>
      <c r="J147" s="12" t="s">
        <v>375</v>
      </c>
      <c r="K147" s="13" t="b">
        <v>0</v>
      </c>
      <c r="L147" s="14" t="s">
        <v>17</v>
      </c>
    </row>
    <row r="148" spans="1:12" ht="45.75" thickBot="1" x14ac:dyDescent="0.3">
      <c r="A148" s="4" t="s">
        <v>376</v>
      </c>
      <c r="B148" s="5" t="s">
        <v>60</v>
      </c>
      <c r="C148" s="5" t="s">
        <v>158</v>
      </c>
      <c r="D148" s="5" t="s">
        <v>377</v>
      </c>
      <c r="E148" s="6">
        <v>23</v>
      </c>
      <c r="F148" s="6">
        <v>2</v>
      </c>
      <c r="G148" s="6">
        <v>46</v>
      </c>
      <c r="H148" s="5" t="s">
        <v>15</v>
      </c>
      <c r="I148" s="5" t="s">
        <v>39</v>
      </c>
      <c r="J148" s="7">
        <v>45537</v>
      </c>
      <c r="K148" s="8" t="b">
        <v>0</v>
      </c>
      <c r="L148" s="9" t="s">
        <v>32</v>
      </c>
    </row>
    <row r="149" spans="1:12" ht="45.75" thickBot="1" x14ac:dyDescent="0.3">
      <c r="A149" s="10" t="s">
        <v>378</v>
      </c>
      <c r="B149" s="11" t="s">
        <v>106</v>
      </c>
      <c r="C149" s="11" t="s">
        <v>158</v>
      </c>
      <c r="D149" s="11" t="s">
        <v>379</v>
      </c>
      <c r="E149" s="12">
        <v>12.5</v>
      </c>
      <c r="F149" s="12">
        <v>2</v>
      </c>
      <c r="G149" s="12">
        <v>25</v>
      </c>
      <c r="H149" s="11" t="s">
        <v>15</v>
      </c>
      <c r="I149" s="11" t="s">
        <v>39</v>
      </c>
      <c r="J149" s="15">
        <v>45606</v>
      </c>
      <c r="K149" s="13" t="b">
        <v>0</v>
      </c>
      <c r="L149" s="14" t="s">
        <v>32</v>
      </c>
    </row>
    <row r="150" spans="1:12" ht="15.75" thickBot="1" x14ac:dyDescent="0.3">
      <c r="A150" s="4" t="s">
        <v>380</v>
      </c>
      <c r="B150" s="5" t="s">
        <v>48</v>
      </c>
      <c r="C150" s="5" t="s">
        <v>42</v>
      </c>
      <c r="D150" s="5" t="s">
        <v>381</v>
      </c>
      <c r="E150" s="6">
        <v>6.5</v>
      </c>
      <c r="F150" s="6">
        <v>5</v>
      </c>
      <c r="G150" s="6">
        <v>32.5</v>
      </c>
      <c r="H150" s="5" t="s">
        <v>15</v>
      </c>
      <c r="I150" s="5" t="s">
        <v>39</v>
      </c>
      <c r="J150" s="6" t="s">
        <v>382</v>
      </c>
      <c r="K150" s="5"/>
      <c r="L150" s="9" t="s">
        <v>32</v>
      </c>
    </row>
    <row r="151" spans="1:12" ht="15.75" thickBot="1" x14ac:dyDescent="0.3">
      <c r="A151" s="10" t="s">
        <v>383</v>
      </c>
      <c r="B151" s="11" t="s">
        <v>94</v>
      </c>
      <c r="C151" s="11" t="s">
        <v>30</v>
      </c>
      <c r="D151" s="11" t="s">
        <v>209</v>
      </c>
      <c r="E151" s="12">
        <v>30.5</v>
      </c>
      <c r="F151" s="12">
        <v>10</v>
      </c>
      <c r="G151" s="12">
        <v>305</v>
      </c>
      <c r="H151" s="11" t="s">
        <v>51</v>
      </c>
      <c r="I151" s="11" t="s">
        <v>16</v>
      </c>
      <c r="J151" s="15">
        <v>45637</v>
      </c>
      <c r="K151" s="13" t="b">
        <v>0</v>
      </c>
      <c r="L151" s="14" t="s">
        <v>17</v>
      </c>
    </row>
    <row r="152" spans="1:12" ht="15.75" thickBot="1" x14ac:dyDescent="0.3">
      <c r="A152" s="4" t="s">
        <v>384</v>
      </c>
      <c r="B152" s="5" t="s">
        <v>74</v>
      </c>
      <c r="C152" s="5" t="s">
        <v>25</v>
      </c>
      <c r="D152" s="5" t="s">
        <v>141</v>
      </c>
      <c r="E152" s="6">
        <v>36.5</v>
      </c>
      <c r="F152" s="6">
        <v>1</v>
      </c>
      <c r="G152" s="6">
        <v>36.5</v>
      </c>
      <c r="H152" s="5" t="s">
        <v>27</v>
      </c>
      <c r="I152" s="5" t="s">
        <v>16</v>
      </c>
      <c r="J152" s="6" t="s">
        <v>385</v>
      </c>
      <c r="K152" s="8" t="b">
        <v>0</v>
      </c>
      <c r="L152" s="9" t="s">
        <v>32</v>
      </c>
    </row>
    <row r="153" spans="1:12" ht="15.75" thickBot="1" x14ac:dyDescent="0.3">
      <c r="A153" s="10" t="s">
        <v>386</v>
      </c>
      <c r="B153" s="11" t="s">
        <v>106</v>
      </c>
      <c r="C153" s="11" t="s">
        <v>25</v>
      </c>
      <c r="D153" s="11" t="s">
        <v>345</v>
      </c>
      <c r="E153" s="12">
        <v>12.5</v>
      </c>
      <c r="F153" s="12">
        <v>5</v>
      </c>
      <c r="G153" s="12">
        <v>62.5</v>
      </c>
      <c r="H153" s="11" t="s">
        <v>51</v>
      </c>
      <c r="I153" s="11" t="s">
        <v>16</v>
      </c>
      <c r="J153" s="15">
        <v>45140</v>
      </c>
      <c r="K153" s="13" t="b">
        <v>0</v>
      </c>
      <c r="L153" s="14" t="s">
        <v>32</v>
      </c>
    </row>
    <row r="154" spans="1:12" ht="15.75" thickBot="1" x14ac:dyDescent="0.3">
      <c r="A154" s="4" t="s">
        <v>387</v>
      </c>
      <c r="B154" s="5" t="s">
        <v>12</v>
      </c>
      <c r="C154" s="5" t="s">
        <v>13</v>
      </c>
      <c r="D154" s="5" t="s">
        <v>115</v>
      </c>
      <c r="E154" s="6">
        <v>12.5</v>
      </c>
      <c r="F154" s="6">
        <v>2</v>
      </c>
      <c r="G154" s="6">
        <v>25</v>
      </c>
      <c r="H154" s="5" t="s">
        <v>15</v>
      </c>
      <c r="I154" s="5" t="s">
        <v>39</v>
      </c>
      <c r="J154" s="6" t="s">
        <v>388</v>
      </c>
      <c r="K154" s="5"/>
      <c r="L154" s="9" t="s">
        <v>32</v>
      </c>
    </row>
    <row r="155" spans="1:12" ht="15.75" thickBot="1" x14ac:dyDescent="0.3">
      <c r="A155" s="10" t="s">
        <v>389</v>
      </c>
      <c r="B155" s="11" t="s">
        <v>12</v>
      </c>
      <c r="C155" s="11" t="s">
        <v>25</v>
      </c>
      <c r="D155" s="11" t="s">
        <v>390</v>
      </c>
      <c r="E155" s="12">
        <v>35</v>
      </c>
      <c r="F155" s="12">
        <v>8</v>
      </c>
      <c r="G155" s="12">
        <v>280</v>
      </c>
      <c r="H155" s="11" t="s">
        <v>27</v>
      </c>
      <c r="I155" s="11" t="s">
        <v>16</v>
      </c>
      <c r="J155" s="15">
        <v>44930</v>
      </c>
      <c r="K155" s="13" t="b">
        <v>1</v>
      </c>
      <c r="L155" s="14" t="s">
        <v>17</v>
      </c>
    </row>
    <row r="156" spans="1:12" ht="15.75" thickBot="1" x14ac:dyDescent="0.3">
      <c r="A156" s="4" t="s">
        <v>391</v>
      </c>
      <c r="B156" s="5" t="s">
        <v>117</v>
      </c>
      <c r="C156" s="5" t="s">
        <v>42</v>
      </c>
      <c r="D156" s="5" t="s">
        <v>392</v>
      </c>
      <c r="E156" s="6">
        <v>15.5</v>
      </c>
      <c r="F156" s="6">
        <v>9</v>
      </c>
      <c r="G156" s="6">
        <v>139.5</v>
      </c>
      <c r="H156" s="5" t="s">
        <v>51</v>
      </c>
      <c r="I156" s="5" t="s">
        <v>16</v>
      </c>
      <c r="J156" s="7">
        <v>45479</v>
      </c>
      <c r="K156" s="5"/>
      <c r="L156" s="9" t="s">
        <v>35</v>
      </c>
    </row>
    <row r="157" spans="1:12" ht="15.75" thickBot="1" x14ac:dyDescent="0.3">
      <c r="A157" s="10" t="s">
        <v>393</v>
      </c>
      <c r="B157" s="11" t="s">
        <v>127</v>
      </c>
      <c r="C157" s="11" t="s">
        <v>49</v>
      </c>
      <c r="D157" s="11" t="s">
        <v>50</v>
      </c>
      <c r="E157" s="12">
        <v>36.5</v>
      </c>
      <c r="F157" s="12">
        <v>6</v>
      </c>
      <c r="G157" s="12">
        <v>219</v>
      </c>
      <c r="H157" s="11" t="s">
        <v>15</v>
      </c>
      <c r="I157" s="11" t="s">
        <v>39</v>
      </c>
      <c r="J157" s="15">
        <v>45358</v>
      </c>
      <c r="K157" s="13" t="b">
        <v>0</v>
      </c>
      <c r="L157" s="14" t="s">
        <v>17</v>
      </c>
    </row>
    <row r="158" spans="1:12" ht="15.75" thickBot="1" x14ac:dyDescent="0.3">
      <c r="A158" s="4" t="s">
        <v>394</v>
      </c>
      <c r="B158" s="5" t="s">
        <v>149</v>
      </c>
      <c r="C158" s="5" t="s">
        <v>49</v>
      </c>
      <c r="D158" s="5" t="s">
        <v>395</v>
      </c>
      <c r="E158" s="6">
        <v>23</v>
      </c>
      <c r="F158" s="6">
        <v>7</v>
      </c>
      <c r="G158" s="6">
        <v>161</v>
      </c>
      <c r="H158" s="5" t="s">
        <v>27</v>
      </c>
      <c r="I158" s="5" t="s">
        <v>16</v>
      </c>
      <c r="J158" s="6" t="s">
        <v>396</v>
      </c>
      <c r="K158" s="8" t="b">
        <v>0</v>
      </c>
      <c r="L158" s="9" t="s">
        <v>35</v>
      </c>
    </row>
    <row r="159" spans="1:12" ht="15.75" thickBot="1" x14ac:dyDescent="0.3">
      <c r="A159" s="10" t="s">
        <v>397</v>
      </c>
      <c r="B159" s="11" t="s">
        <v>48</v>
      </c>
      <c r="C159" s="11" t="s">
        <v>25</v>
      </c>
      <c r="D159" s="11" t="s">
        <v>398</v>
      </c>
      <c r="E159" s="12">
        <v>6.5</v>
      </c>
      <c r="F159" s="12">
        <v>4</v>
      </c>
      <c r="G159" s="12">
        <v>26</v>
      </c>
      <c r="H159" s="11" t="s">
        <v>15</v>
      </c>
      <c r="I159" s="11" t="s">
        <v>16</v>
      </c>
      <c r="J159" s="12" t="s">
        <v>399</v>
      </c>
      <c r="K159" s="13" t="b">
        <v>0</v>
      </c>
      <c r="L159" s="14" t="s">
        <v>32</v>
      </c>
    </row>
    <row r="160" spans="1:12" ht="15.75" thickBot="1" x14ac:dyDescent="0.3">
      <c r="A160" s="4" t="s">
        <v>400</v>
      </c>
      <c r="B160" s="5" t="s">
        <v>41</v>
      </c>
      <c r="C160" s="5" t="s">
        <v>49</v>
      </c>
      <c r="D160" s="5"/>
      <c r="E160" s="5"/>
      <c r="F160" s="6">
        <v>9</v>
      </c>
      <c r="G160" s="6">
        <v>126</v>
      </c>
      <c r="H160" s="5" t="s">
        <v>15</v>
      </c>
      <c r="I160" s="5" t="s">
        <v>39</v>
      </c>
      <c r="J160" s="7">
        <v>45385</v>
      </c>
      <c r="K160" s="8" t="b">
        <v>0</v>
      </c>
      <c r="L160" s="9" t="s">
        <v>35</v>
      </c>
    </row>
    <row r="161" spans="1:12" ht="15.75" thickBot="1" x14ac:dyDescent="0.3">
      <c r="A161" s="10" t="s">
        <v>401</v>
      </c>
      <c r="B161" s="11" t="s">
        <v>94</v>
      </c>
      <c r="C161" s="11" t="s">
        <v>30</v>
      </c>
      <c r="D161" s="11" t="s">
        <v>107</v>
      </c>
      <c r="E161" s="12">
        <v>24.5</v>
      </c>
      <c r="F161" s="12">
        <v>4</v>
      </c>
      <c r="G161" s="12">
        <v>98</v>
      </c>
      <c r="H161" s="11" t="s">
        <v>15</v>
      </c>
      <c r="I161" s="11" t="s">
        <v>39</v>
      </c>
      <c r="J161" s="15">
        <v>44595</v>
      </c>
      <c r="K161" s="11"/>
      <c r="L161" s="14" t="s">
        <v>32</v>
      </c>
    </row>
    <row r="162" spans="1:12" ht="45.75" thickBot="1" x14ac:dyDescent="0.3">
      <c r="A162" s="4" t="s">
        <v>402</v>
      </c>
      <c r="B162" s="5" t="s">
        <v>120</v>
      </c>
      <c r="C162" s="5" t="s">
        <v>75</v>
      </c>
      <c r="D162" s="5" t="s">
        <v>403</v>
      </c>
      <c r="E162" s="6">
        <v>14</v>
      </c>
      <c r="F162" s="6">
        <v>9</v>
      </c>
      <c r="G162" s="6">
        <v>126</v>
      </c>
      <c r="H162" s="5" t="s">
        <v>27</v>
      </c>
      <c r="I162" s="5" t="s">
        <v>39</v>
      </c>
      <c r="J162" s="6" t="s">
        <v>404</v>
      </c>
      <c r="K162" s="8" t="b">
        <v>0</v>
      </c>
      <c r="L162" s="9" t="s">
        <v>35</v>
      </c>
    </row>
    <row r="163" spans="1:12" ht="15.75" thickBot="1" x14ac:dyDescent="0.3">
      <c r="A163" s="10" t="s">
        <v>405</v>
      </c>
      <c r="B163" s="11" t="s">
        <v>130</v>
      </c>
      <c r="C163" s="11" t="s">
        <v>49</v>
      </c>
      <c r="D163" s="11" t="s">
        <v>275</v>
      </c>
      <c r="E163" s="12">
        <v>35</v>
      </c>
      <c r="F163" s="12">
        <v>9</v>
      </c>
      <c r="G163" s="12">
        <v>315</v>
      </c>
      <c r="H163" s="11" t="s">
        <v>51</v>
      </c>
      <c r="I163" s="11" t="s">
        <v>39</v>
      </c>
      <c r="J163" s="15">
        <v>45506</v>
      </c>
      <c r="K163" s="13" t="b">
        <v>1</v>
      </c>
      <c r="L163" s="14" t="s">
        <v>17</v>
      </c>
    </row>
    <row r="164" spans="1:12" ht="15.75" thickBot="1" x14ac:dyDescent="0.3">
      <c r="A164" s="4" t="s">
        <v>406</v>
      </c>
      <c r="B164" s="5" t="s">
        <v>19</v>
      </c>
      <c r="C164" s="5" t="s">
        <v>30</v>
      </c>
      <c r="D164" s="5" t="s">
        <v>302</v>
      </c>
      <c r="E164" s="6">
        <v>17</v>
      </c>
      <c r="F164" s="6">
        <v>5</v>
      </c>
      <c r="G164" s="6">
        <v>85</v>
      </c>
      <c r="H164" s="5" t="s">
        <v>15</v>
      </c>
      <c r="I164" s="5" t="s">
        <v>39</v>
      </c>
      <c r="J164" s="6" t="s">
        <v>407</v>
      </c>
      <c r="K164" s="8" t="b">
        <v>0</v>
      </c>
      <c r="L164" s="9" t="s">
        <v>32</v>
      </c>
    </row>
    <row r="165" spans="1:12" ht="15.75" thickBot="1" x14ac:dyDescent="0.3">
      <c r="A165" s="10" t="s">
        <v>408</v>
      </c>
      <c r="B165" s="11" t="s">
        <v>19</v>
      </c>
      <c r="C165" s="11" t="s">
        <v>42</v>
      </c>
      <c r="D165" s="11" t="s">
        <v>103</v>
      </c>
      <c r="E165" s="12">
        <v>41</v>
      </c>
      <c r="F165" s="12">
        <v>1</v>
      </c>
      <c r="G165" s="12">
        <v>41</v>
      </c>
      <c r="H165" s="11" t="s">
        <v>27</v>
      </c>
      <c r="I165" s="11" t="s">
        <v>39</v>
      </c>
      <c r="J165" s="12" t="s">
        <v>320</v>
      </c>
      <c r="K165" s="13" t="b">
        <v>0</v>
      </c>
      <c r="L165" s="14" t="s">
        <v>32</v>
      </c>
    </row>
    <row r="166" spans="1:12" ht="15.75" thickBot="1" x14ac:dyDescent="0.3">
      <c r="A166" s="4" t="s">
        <v>409</v>
      </c>
      <c r="B166" s="5" t="s">
        <v>127</v>
      </c>
      <c r="C166" s="5" t="s">
        <v>25</v>
      </c>
      <c r="D166" s="5" t="s">
        <v>81</v>
      </c>
      <c r="E166" s="6">
        <v>14</v>
      </c>
      <c r="F166" s="6">
        <v>9</v>
      </c>
      <c r="G166" s="6">
        <v>126</v>
      </c>
      <c r="H166" s="5" t="s">
        <v>15</v>
      </c>
      <c r="I166" s="5" t="s">
        <v>16</v>
      </c>
      <c r="J166" s="7">
        <v>44604</v>
      </c>
      <c r="K166" s="8" t="b">
        <v>1</v>
      </c>
      <c r="L166" s="9" t="s">
        <v>35</v>
      </c>
    </row>
    <row r="167" spans="1:12" ht="15.75" thickBot="1" x14ac:dyDescent="0.3">
      <c r="A167" s="10" t="s">
        <v>410</v>
      </c>
      <c r="B167" s="11" t="s">
        <v>136</v>
      </c>
      <c r="C167" s="11" t="s">
        <v>25</v>
      </c>
      <c r="D167" s="11" t="s">
        <v>81</v>
      </c>
      <c r="E167" s="12">
        <v>14</v>
      </c>
      <c r="F167" s="12">
        <v>6</v>
      </c>
      <c r="G167" s="12">
        <v>84</v>
      </c>
      <c r="H167" s="11" t="s">
        <v>15</v>
      </c>
      <c r="I167" s="11" t="s">
        <v>16</v>
      </c>
      <c r="J167" s="12" t="s">
        <v>411</v>
      </c>
      <c r="K167" s="11"/>
      <c r="L167" s="14" t="s">
        <v>32</v>
      </c>
    </row>
    <row r="168" spans="1:12" ht="15.75" thickBot="1" x14ac:dyDescent="0.3">
      <c r="A168" s="4" t="s">
        <v>412</v>
      </c>
      <c r="B168" s="5" t="s">
        <v>86</v>
      </c>
      <c r="C168" s="5" t="s">
        <v>13</v>
      </c>
      <c r="D168" s="5" t="s">
        <v>244</v>
      </c>
      <c r="E168" s="6">
        <v>41</v>
      </c>
      <c r="F168" s="6">
        <v>7</v>
      </c>
      <c r="G168" s="6">
        <v>287</v>
      </c>
      <c r="H168" s="5" t="s">
        <v>27</v>
      </c>
      <c r="I168" s="5" t="s">
        <v>39</v>
      </c>
      <c r="J168" s="7">
        <v>45054</v>
      </c>
      <c r="K168" s="5"/>
      <c r="L168" s="9" t="s">
        <v>17</v>
      </c>
    </row>
    <row r="169" spans="1:12" ht="45.75" thickBot="1" x14ac:dyDescent="0.3">
      <c r="A169" s="10" t="s">
        <v>413</v>
      </c>
      <c r="B169" s="11" t="s">
        <v>48</v>
      </c>
      <c r="C169" s="11" t="s">
        <v>158</v>
      </c>
      <c r="D169" s="11" t="s">
        <v>414</v>
      </c>
      <c r="E169" s="12">
        <v>24.5</v>
      </c>
      <c r="F169" s="12">
        <v>4</v>
      </c>
      <c r="G169" s="12">
        <v>98</v>
      </c>
      <c r="H169" s="11" t="s">
        <v>51</v>
      </c>
      <c r="I169" s="11" t="s">
        <v>39</v>
      </c>
      <c r="J169" s="15">
        <v>44597</v>
      </c>
      <c r="K169" s="11"/>
      <c r="L169" s="14" t="s">
        <v>32</v>
      </c>
    </row>
    <row r="170" spans="1:12" ht="45.75" thickBot="1" x14ac:dyDescent="0.3">
      <c r="A170" s="4" t="s">
        <v>415</v>
      </c>
      <c r="B170" s="5" t="s">
        <v>86</v>
      </c>
      <c r="C170" s="5" t="s">
        <v>75</v>
      </c>
      <c r="D170" s="5" t="s">
        <v>416</v>
      </c>
      <c r="E170" s="6">
        <v>32</v>
      </c>
      <c r="F170" s="6">
        <v>6</v>
      </c>
      <c r="G170" s="6">
        <v>192</v>
      </c>
      <c r="H170" s="5" t="s">
        <v>27</v>
      </c>
      <c r="I170" s="5" t="s">
        <v>39</v>
      </c>
      <c r="J170" s="6" t="s">
        <v>417</v>
      </c>
      <c r="K170" s="5"/>
      <c r="L170" s="9" t="s">
        <v>35</v>
      </c>
    </row>
    <row r="171" spans="1:12" ht="15.75" thickBot="1" x14ac:dyDescent="0.3">
      <c r="A171" s="10" t="s">
        <v>418</v>
      </c>
      <c r="B171" s="11" t="s">
        <v>78</v>
      </c>
      <c r="C171" s="11" t="s">
        <v>25</v>
      </c>
      <c r="D171" s="11" t="s">
        <v>134</v>
      </c>
      <c r="E171" s="12">
        <v>20</v>
      </c>
      <c r="F171" s="12">
        <v>4</v>
      </c>
      <c r="G171" s="12">
        <v>80</v>
      </c>
      <c r="H171" s="11" t="s">
        <v>27</v>
      </c>
      <c r="I171" s="11" t="s">
        <v>16</v>
      </c>
      <c r="J171" s="15">
        <v>45267</v>
      </c>
      <c r="K171" s="11"/>
      <c r="L171" s="14" t="s">
        <v>32</v>
      </c>
    </row>
    <row r="172" spans="1:12" ht="15.75" thickBot="1" x14ac:dyDescent="0.3">
      <c r="A172" s="4" t="s">
        <v>419</v>
      </c>
      <c r="B172" s="5" t="s">
        <v>140</v>
      </c>
      <c r="C172" s="5" t="s">
        <v>25</v>
      </c>
      <c r="D172" s="5" t="s">
        <v>322</v>
      </c>
      <c r="E172" s="6">
        <v>38</v>
      </c>
      <c r="F172" s="6">
        <v>6</v>
      </c>
      <c r="G172" s="6">
        <v>228</v>
      </c>
      <c r="H172" s="5" t="s">
        <v>51</v>
      </c>
      <c r="I172" s="5" t="s">
        <v>16</v>
      </c>
      <c r="J172" s="6" t="s">
        <v>420</v>
      </c>
      <c r="K172" s="8" t="b">
        <v>0</v>
      </c>
      <c r="L172" s="9" t="s">
        <v>17</v>
      </c>
    </row>
    <row r="173" spans="1:12" ht="45.75" thickBot="1" x14ac:dyDescent="0.3">
      <c r="A173" s="10" t="s">
        <v>421</v>
      </c>
      <c r="B173" s="11" t="s">
        <v>99</v>
      </c>
      <c r="C173" s="11" t="s">
        <v>158</v>
      </c>
      <c r="D173" s="11" t="s">
        <v>422</v>
      </c>
      <c r="E173" s="12">
        <v>30.5</v>
      </c>
      <c r="F173" s="12">
        <v>3</v>
      </c>
      <c r="G173" s="12">
        <v>91.5</v>
      </c>
      <c r="H173" s="11" t="s">
        <v>51</v>
      </c>
      <c r="I173" s="11" t="s">
        <v>16</v>
      </c>
      <c r="J173" s="12" t="s">
        <v>423</v>
      </c>
      <c r="K173" s="11"/>
      <c r="L173" s="14" t="s">
        <v>32</v>
      </c>
    </row>
    <row r="174" spans="1:12" ht="15.75" thickBot="1" x14ac:dyDescent="0.3">
      <c r="A174" s="4" t="s">
        <v>424</v>
      </c>
      <c r="B174" s="5" t="s">
        <v>74</v>
      </c>
      <c r="C174" s="5" t="s">
        <v>13</v>
      </c>
      <c r="D174" s="5" t="s">
        <v>161</v>
      </c>
      <c r="E174" s="6">
        <v>20</v>
      </c>
      <c r="F174" s="6">
        <v>7</v>
      </c>
      <c r="G174" s="6">
        <v>140</v>
      </c>
      <c r="H174" s="5" t="s">
        <v>51</v>
      </c>
      <c r="I174" s="5" t="s">
        <v>39</v>
      </c>
      <c r="J174" s="6" t="s">
        <v>425</v>
      </c>
      <c r="K174" s="8" t="b">
        <v>1</v>
      </c>
      <c r="L174" s="9" t="s">
        <v>35</v>
      </c>
    </row>
    <row r="175" spans="1:12" ht="15.75" thickBot="1" x14ac:dyDescent="0.3">
      <c r="A175" s="10" t="s">
        <v>426</v>
      </c>
      <c r="B175" s="11" t="s">
        <v>206</v>
      </c>
      <c r="C175" s="11" t="s">
        <v>20</v>
      </c>
      <c r="D175" s="11" t="s">
        <v>253</v>
      </c>
      <c r="E175" s="12">
        <v>15.5</v>
      </c>
      <c r="F175" s="12">
        <v>6</v>
      </c>
      <c r="G175" s="12">
        <v>93</v>
      </c>
      <c r="H175" s="11" t="s">
        <v>27</v>
      </c>
      <c r="I175" s="11" t="s">
        <v>16</v>
      </c>
      <c r="J175" s="12" t="s">
        <v>427</v>
      </c>
      <c r="K175" s="13" t="b">
        <v>0</v>
      </c>
      <c r="L175" s="14" t="s">
        <v>32</v>
      </c>
    </row>
    <row r="176" spans="1:12" ht="15.75" thickBot="1" x14ac:dyDescent="0.3">
      <c r="A176" s="4" t="s">
        <v>428</v>
      </c>
      <c r="B176" s="5" t="s">
        <v>117</v>
      </c>
      <c r="C176" s="5" t="s">
        <v>13</v>
      </c>
      <c r="D176" s="5" t="s">
        <v>282</v>
      </c>
      <c r="E176" s="6">
        <v>27.5</v>
      </c>
      <c r="F176" s="6">
        <v>2</v>
      </c>
      <c r="G176" s="6">
        <v>55</v>
      </c>
      <c r="H176" s="5" t="s">
        <v>15</v>
      </c>
      <c r="I176" s="5" t="s">
        <v>16</v>
      </c>
      <c r="J176" s="6" t="s">
        <v>429</v>
      </c>
      <c r="K176" s="8" t="b">
        <v>1</v>
      </c>
      <c r="L176" s="9" t="s">
        <v>32</v>
      </c>
    </row>
    <row r="177" spans="1:12" ht="15.75" thickBot="1" x14ac:dyDescent="0.3">
      <c r="A177" s="10" t="s">
        <v>430</v>
      </c>
      <c r="B177" s="11" t="s">
        <v>140</v>
      </c>
      <c r="C177" s="11" t="s">
        <v>30</v>
      </c>
      <c r="D177" s="11" t="s">
        <v>231</v>
      </c>
      <c r="E177" s="12">
        <v>33.5</v>
      </c>
      <c r="F177" s="12">
        <v>10</v>
      </c>
      <c r="G177" s="12">
        <v>335</v>
      </c>
      <c r="H177" s="11" t="s">
        <v>15</v>
      </c>
      <c r="I177" s="11" t="s">
        <v>16</v>
      </c>
      <c r="J177" s="12" t="s">
        <v>431</v>
      </c>
      <c r="K177" s="13" t="b">
        <v>0</v>
      </c>
      <c r="L177" s="14" t="s">
        <v>17</v>
      </c>
    </row>
    <row r="178" spans="1:12" ht="15.75" thickBot="1" x14ac:dyDescent="0.3">
      <c r="A178" s="4" t="s">
        <v>432</v>
      </c>
      <c r="B178" s="5" t="s">
        <v>12</v>
      </c>
      <c r="C178" s="5" t="s">
        <v>20</v>
      </c>
      <c r="D178" s="5" t="s">
        <v>348</v>
      </c>
      <c r="E178" s="6">
        <v>5</v>
      </c>
      <c r="F178" s="6">
        <v>7</v>
      </c>
      <c r="G178" s="6">
        <v>35</v>
      </c>
      <c r="H178" s="5" t="s">
        <v>15</v>
      </c>
      <c r="I178" s="5" t="s">
        <v>16</v>
      </c>
      <c r="J178" s="6" t="s">
        <v>433</v>
      </c>
      <c r="K178" s="8" t="b">
        <v>0</v>
      </c>
      <c r="L178" s="9" t="s">
        <v>32</v>
      </c>
    </row>
    <row r="179" spans="1:12" ht="15.75" thickBot="1" x14ac:dyDescent="0.3">
      <c r="A179" s="10" t="s">
        <v>434</v>
      </c>
      <c r="B179" s="11" t="s">
        <v>19</v>
      </c>
      <c r="C179" s="11" t="s">
        <v>42</v>
      </c>
      <c r="D179" s="11" t="s">
        <v>103</v>
      </c>
      <c r="E179" s="12">
        <v>41</v>
      </c>
      <c r="F179" s="12">
        <v>2</v>
      </c>
      <c r="G179" s="12">
        <v>82</v>
      </c>
      <c r="H179" s="11" t="s">
        <v>27</v>
      </c>
      <c r="I179" s="11" t="s">
        <v>16</v>
      </c>
      <c r="J179" s="12" t="s">
        <v>435</v>
      </c>
      <c r="K179" s="11"/>
      <c r="L179" s="14" t="s">
        <v>32</v>
      </c>
    </row>
    <row r="180" spans="1:12" ht="15.75" thickBot="1" x14ac:dyDescent="0.3">
      <c r="A180" s="4" t="s">
        <v>436</v>
      </c>
      <c r="B180" s="5" t="s">
        <v>94</v>
      </c>
      <c r="C180" s="5" t="s">
        <v>49</v>
      </c>
      <c r="D180" s="5"/>
      <c r="E180" s="6">
        <v>23</v>
      </c>
      <c r="F180" s="5"/>
      <c r="G180" s="5"/>
      <c r="H180" s="5" t="s">
        <v>51</v>
      </c>
      <c r="I180" s="5" t="s">
        <v>39</v>
      </c>
      <c r="J180" s="6" t="s">
        <v>437</v>
      </c>
      <c r="K180" s="8" t="b">
        <v>0</v>
      </c>
      <c r="L180" s="9" t="s">
        <v>32</v>
      </c>
    </row>
    <row r="181" spans="1:12" ht="45.75" thickBot="1" x14ac:dyDescent="0.3">
      <c r="A181" s="10" t="s">
        <v>438</v>
      </c>
      <c r="B181" s="11" t="s">
        <v>37</v>
      </c>
      <c r="C181" s="11" t="s">
        <v>158</v>
      </c>
      <c r="D181" s="11" t="s">
        <v>439</v>
      </c>
      <c r="E181" s="12">
        <v>20</v>
      </c>
      <c r="F181" s="12">
        <v>9</v>
      </c>
      <c r="G181" s="12">
        <v>180</v>
      </c>
      <c r="H181" s="11" t="s">
        <v>15</v>
      </c>
      <c r="I181" s="11" t="s">
        <v>39</v>
      </c>
      <c r="J181" s="15">
        <v>45078</v>
      </c>
      <c r="K181" s="13" t="b">
        <v>1</v>
      </c>
      <c r="L181" s="14" t="s">
        <v>35</v>
      </c>
    </row>
    <row r="182" spans="1:12" ht="15.75" thickBot="1" x14ac:dyDescent="0.3">
      <c r="A182" s="4" t="s">
        <v>440</v>
      </c>
      <c r="B182" s="5" t="s">
        <v>71</v>
      </c>
      <c r="C182" s="5" t="s">
        <v>42</v>
      </c>
      <c r="D182" s="5" t="s">
        <v>296</v>
      </c>
      <c r="E182" s="6">
        <v>11</v>
      </c>
      <c r="F182" s="6">
        <v>8</v>
      </c>
      <c r="G182" s="6">
        <v>88</v>
      </c>
      <c r="H182" s="5" t="s">
        <v>15</v>
      </c>
      <c r="I182" s="5" t="s">
        <v>16</v>
      </c>
      <c r="J182" s="7">
        <v>44683</v>
      </c>
      <c r="K182" s="5"/>
      <c r="L182" s="9" t="s">
        <v>32</v>
      </c>
    </row>
    <row r="183" spans="1:12" ht="15.75" thickBot="1" x14ac:dyDescent="0.3">
      <c r="A183" s="10" t="s">
        <v>441</v>
      </c>
      <c r="B183" s="11" t="s">
        <v>71</v>
      </c>
      <c r="C183" s="11" t="s">
        <v>25</v>
      </c>
      <c r="D183" s="11"/>
      <c r="E183" s="12">
        <v>6.5</v>
      </c>
      <c r="F183" s="11"/>
      <c r="G183" s="11"/>
      <c r="H183" s="11" t="s">
        <v>51</v>
      </c>
      <c r="I183" s="11" t="s">
        <v>39</v>
      </c>
      <c r="J183" s="12" t="s">
        <v>442</v>
      </c>
      <c r="K183" s="13" t="b">
        <v>0</v>
      </c>
      <c r="L183" s="14" t="s">
        <v>32</v>
      </c>
    </row>
    <row r="184" spans="1:12" ht="15.75" thickBot="1" x14ac:dyDescent="0.3">
      <c r="A184" s="4" t="s">
        <v>443</v>
      </c>
      <c r="B184" s="5" t="s">
        <v>37</v>
      </c>
      <c r="C184" s="5" t="s">
        <v>20</v>
      </c>
      <c r="D184" s="5" t="s">
        <v>64</v>
      </c>
      <c r="E184" s="6">
        <v>27.5</v>
      </c>
      <c r="F184" s="6">
        <v>7</v>
      </c>
      <c r="G184" s="6">
        <v>192.5</v>
      </c>
      <c r="H184" s="5" t="s">
        <v>15</v>
      </c>
      <c r="I184" s="5" t="s">
        <v>39</v>
      </c>
      <c r="J184" s="6" t="s">
        <v>444</v>
      </c>
      <c r="K184" s="8" t="b">
        <v>0</v>
      </c>
      <c r="L184" s="9" t="s">
        <v>35</v>
      </c>
    </row>
    <row r="185" spans="1:12" ht="15.75" thickBot="1" x14ac:dyDescent="0.3">
      <c r="A185" s="10" t="s">
        <v>445</v>
      </c>
      <c r="B185" s="11" t="s">
        <v>37</v>
      </c>
      <c r="C185" s="11" t="s">
        <v>20</v>
      </c>
      <c r="D185" s="11" t="s">
        <v>367</v>
      </c>
      <c r="E185" s="12">
        <v>8</v>
      </c>
      <c r="F185" s="12">
        <v>5</v>
      </c>
      <c r="G185" s="12">
        <v>40</v>
      </c>
      <c r="H185" s="11" t="s">
        <v>51</v>
      </c>
      <c r="I185" s="11" t="s">
        <v>39</v>
      </c>
      <c r="J185" s="15">
        <v>44997</v>
      </c>
      <c r="K185" s="11"/>
      <c r="L185" s="14" t="s">
        <v>32</v>
      </c>
    </row>
    <row r="186" spans="1:12" ht="15.75" thickBot="1" x14ac:dyDescent="0.3">
      <c r="A186" s="4" t="s">
        <v>446</v>
      </c>
      <c r="B186" s="5" t="s">
        <v>117</v>
      </c>
      <c r="C186" s="5" t="s">
        <v>49</v>
      </c>
      <c r="D186" s="5" t="s">
        <v>100</v>
      </c>
      <c r="E186" s="6">
        <v>33.5</v>
      </c>
      <c r="F186" s="6">
        <v>5</v>
      </c>
      <c r="G186" s="6">
        <v>167.5</v>
      </c>
      <c r="H186" s="5" t="s">
        <v>15</v>
      </c>
      <c r="I186" s="5" t="s">
        <v>16</v>
      </c>
      <c r="J186" s="6" t="s">
        <v>447</v>
      </c>
      <c r="K186" s="8" t="b">
        <v>0</v>
      </c>
      <c r="L186" s="9" t="s">
        <v>35</v>
      </c>
    </row>
    <row r="187" spans="1:12" ht="15.75" thickBot="1" x14ac:dyDescent="0.3">
      <c r="A187" s="10" t="s">
        <v>448</v>
      </c>
      <c r="B187" s="11" t="s">
        <v>12</v>
      </c>
      <c r="C187" s="11" t="s">
        <v>42</v>
      </c>
      <c r="D187" s="11" t="s">
        <v>449</v>
      </c>
      <c r="E187" s="12">
        <v>29</v>
      </c>
      <c r="F187" s="12">
        <v>9</v>
      </c>
      <c r="G187" s="12">
        <v>261</v>
      </c>
      <c r="H187" s="11" t="s">
        <v>51</v>
      </c>
      <c r="I187" s="11" t="s">
        <v>16</v>
      </c>
      <c r="J187" s="15">
        <v>45115</v>
      </c>
      <c r="K187" s="13" t="b">
        <v>1</v>
      </c>
      <c r="L187" s="14" t="s">
        <v>17</v>
      </c>
    </row>
    <row r="188" spans="1:12" ht="15.75" thickBot="1" x14ac:dyDescent="0.3">
      <c r="A188" s="4" t="s">
        <v>450</v>
      </c>
      <c r="B188" s="5" t="s">
        <v>90</v>
      </c>
      <c r="C188" s="5" t="s">
        <v>20</v>
      </c>
      <c r="D188" s="5" t="s">
        <v>451</v>
      </c>
      <c r="E188" s="6">
        <v>26</v>
      </c>
      <c r="F188" s="6">
        <v>8</v>
      </c>
      <c r="G188" s="6">
        <v>208</v>
      </c>
      <c r="H188" s="5" t="s">
        <v>51</v>
      </c>
      <c r="I188" s="5" t="s">
        <v>39</v>
      </c>
      <c r="J188" s="7">
        <v>45048</v>
      </c>
      <c r="K188" s="5"/>
      <c r="L188" s="9" t="s">
        <v>17</v>
      </c>
    </row>
    <row r="189" spans="1:12" ht="45.75" thickBot="1" x14ac:dyDescent="0.3">
      <c r="A189" s="10" t="s">
        <v>452</v>
      </c>
      <c r="B189" s="11" t="s">
        <v>86</v>
      </c>
      <c r="C189" s="11" t="s">
        <v>75</v>
      </c>
      <c r="D189" s="11" t="s">
        <v>453</v>
      </c>
      <c r="E189" s="12">
        <v>33.5</v>
      </c>
      <c r="F189" s="12">
        <v>3</v>
      </c>
      <c r="G189" s="12">
        <v>100.5</v>
      </c>
      <c r="H189" s="11" t="s">
        <v>15</v>
      </c>
      <c r="I189" s="11" t="s">
        <v>16</v>
      </c>
      <c r="J189" s="12" t="s">
        <v>317</v>
      </c>
      <c r="K189" s="13" t="b">
        <v>1</v>
      </c>
      <c r="L189" s="14" t="s">
        <v>35</v>
      </c>
    </row>
    <row r="190" spans="1:12" ht="15.75" thickBot="1" x14ac:dyDescent="0.3">
      <c r="A190" s="4" t="s">
        <v>454</v>
      </c>
      <c r="B190" s="5" t="s">
        <v>149</v>
      </c>
      <c r="C190" s="5" t="s">
        <v>30</v>
      </c>
      <c r="D190" s="5" t="s">
        <v>231</v>
      </c>
      <c r="E190" s="6">
        <v>33.5</v>
      </c>
      <c r="F190" s="6">
        <v>5</v>
      </c>
      <c r="G190" s="6">
        <v>167.5</v>
      </c>
      <c r="H190" s="5" t="s">
        <v>27</v>
      </c>
      <c r="I190" s="5" t="s">
        <v>16</v>
      </c>
      <c r="J190" s="6" t="s">
        <v>190</v>
      </c>
      <c r="K190" s="5"/>
      <c r="L190" s="9" t="s">
        <v>35</v>
      </c>
    </row>
    <row r="191" spans="1:12" ht="45.75" thickBot="1" x14ac:dyDescent="0.3">
      <c r="A191" s="10" t="s">
        <v>455</v>
      </c>
      <c r="B191" s="11" t="s">
        <v>130</v>
      </c>
      <c r="C191" s="11" t="s">
        <v>75</v>
      </c>
      <c r="D191" s="11" t="s">
        <v>456</v>
      </c>
      <c r="E191" s="12">
        <v>27.5</v>
      </c>
      <c r="F191" s="12">
        <v>10</v>
      </c>
      <c r="G191" s="12">
        <v>275</v>
      </c>
      <c r="H191" s="11" t="s">
        <v>51</v>
      </c>
      <c r="I191" s="11" t="s">
        <v>16</v>
      </c>
      <c r="J191" s="12" t="s">
        <v>399</v>
      </c>
      <c r="K191" s="13" t="b">
        <v>1</v>
      </c>
      <c r="L191" s="14" t="s">
        <v>17</v>
      </c>
    </row>
    <row r="192" spans="1:12" ht="45.75" thickBot="1" x14ac:dyDescent="0.3">
      <c r="A192" s="4" t="s">
        <v>457</v>
      </c>
      <c r="B192" s="5" t="s">
        <v>94</v>
      </c>
      <c r="C192" s="5" t="s">
        <v>158</v>
      </c>
      <c r="D192" s="5" t="s">
        <v>228</v>
      </c>
      <c r="E192" s="6">
        <v>33.5</v>
      </c>
      <c r="F192" s="6">
        <v>4</v>
      </c>
      <c r="G192" s="6">
        <v>134</v>
      </c>
      <c r="H192" s="5" t="s">
        <v>15</v>
      </c>
      <c r="I192" s="5" t="s">
        <v>16</v>
      </c>
      <c r="J192" s="7">
        <v>44991</v>
      </c>
      <c r="K192" s="8" t="b">
        <v>0</v>
      </c>
      <c r="L192" s="9" t="s">
        <v>35</v>
      </c>
    </row>
    <row r="193" spans="1:12" ht="45.75" thickBot="1" x14ac:dyDescent="0.3">
      <c r="A193" s="10" t="s">
        <v>458</v>
      </c>
      <c r="B193" s="11" t="s">
        <v>140</v>
      </c>
      <c r="C193" s="11" t="s">
        <v>75</v>
      </c>
      <c r="D193" s="11" t="s">
        <v>459</v>
      </c>
      <c r="E193" s="12">
        <v>38</v>
      </c>
      <c r="F193" s="12">
        <v>1</v>
      </c>
      <c r="G193" s="12">
        <v>38</v>
      </c>
      <c r="H193" s="11" t="s">
        <v>51</v>
      </c>
      <c r="I193" s="11" t="s">
        <v>39</v>
      </c>
      <c r="J193" s="12" t="s">
        <v>460</v>
      </c>
      <c r="K193" s="13" t="b">
        <v>1</v>
      </c>
      <c r="L193" s="14" t="s">
        <v>32</v>
      </c>
    </row>
    <row r="194" spans="1:12" ht="15.75" thickBot="1" x14ac:dyDescent="0.3">
      <c r="A194" s="4" t="s">
        <v>461</v>
      </c>
      <c r="B194" s="5" t="s">
        <v>41</v>
      </c>
      <c r="C194" s="5" t="s">
        <v>20</v>
      </c>
      <c r="D194" s="5" t="s">
        <v>264</v>
      </c>
      <c r="E194" s="6">
        <v>9.5</v>
      </c>
      <c r="F194" s="6">
        <v>1</v>
      </c>
      <c r="G194" s="6">
        <v>9.5</v>
      </c>
      <c r="H194" s="5" t="s">
        <v>15</v>
      </c>
      <c r="I194" s="5" t="s">
        <v>16</v>
      </c>
      <c r="J194" s="6" t="s">
        <v>462</v>
      </c>
      <c r="K194" s="8" t="b">
        <v>0</v>
      </c>
      <c r="L194" s="9" t="s">
        <v>32</v>
      </c>
    </row>
    <row r="195" spans="1:12" ht="15.75" thickBot="1" x14ac:dyDescent="0.3">
      <c r="A195" s="10" t="s">
        <v>463</v>
      </c>
      <c r="B195" s="11" t="s">
        <v>78</v>
      </c>
      <c r="C195" s="11" t="s">
        <v>49</v>
      </c>
      <c r="D195" s="11" t="s">
        <v>464</v>
      </c>
      <c r="E195" s="12">
        <v>14</v>
      </c>
      <c r="F195" s="12">
        <v>3</v>
      </c>
      <c r="G195" s="12">
        <v>42</v>
      </c>
      <c r="H195" s="11" t="s">
        <v>51</v>
      </c>
      <c r="I195" s="11" t="s">
        <v>16</v>
      </c>
      <c r="J195" s="12" t="s">
        <v>465</v>
      </c>
      <c r="K195" s="11"/>
      <c r="L195" s="14" t="s">
        <v>32</v>
      </c>
    </row>
    <row r="196" spans="1:12" ht="45.75" thickBot="1" x14ac:dyDescent="0.3">
      <c r="A196" s="4" t="s">
        <v>466</v>
      </c>
      <c r="B196" s="5" t="s">
        <v>41</v>
      </c>
      <c r="C196" s="5" t="s">
        <v>158</v>
      </c>
      <c r="D196" s="5" t="s">
        <v>159</v>
      </c>
      <c r="E196" s="6">
        <v>27.5</v>
      </c>
      <c r="F196" s="6">
        <v>9</v>
      </c>
      <c r="G196" s="6">
        <v>247.5</v>
      </c>
      <c r="H196" s="5" t="s">
        <v>15</v>
      </c>
      <c r="I196" s="5" t="s">
        <v>39</v>
      </c>
      <c r="J196" s="6" t="s">
        <v>223</v>
      </c>
      <c r="K196" s="5"/>
      <c r="L196" s="9" t="s">
        <v>17</v>
      </c>
    </row>
    <row r="197" spans="1:12" ht="45.75" thickBot="1" x14ac:dyDescent="0.3">
      <c r="A197" s="10" t="s">
        <v>467</v>
      </c>
      <c r="B197" s="11" t="s">
        <v>48</v>
      </c>
      <c r="C197" s="11" t="s">
        <v>75</v>
      </c>
      <c r="D197" s="11" t="s">
        <v>468</v>
      </c>
      <c r="E197" s="12">
        <v>5</v>
      </c>
      <c r="F197" s="12">
        <v>2</v>
      </c>
      <c r="G197" s="12">
        <v>10</v>
      </c>
      <c r="H197" s="11" t="s">
        <v>51</v>
      </c>
      <c r="I197" s="11" t="s">
        <v>16</v>
      </c>
      <c r="J197" s="15">
        <v>45205</v>
      </c>
      <c r="K197" s="13" t="b">
        <v>0</v>
      </c>
      <c r="L197" s="14" t="s">
        <v>32</v>
      </c>
    </row>
    <row r="198" spans="1:12" ht="15.75" thickBot="1" x14ac:dyDescent="0.3">
      <c r="A198" s="4" t="s">
        <v>469</v>
      </c>
      <c r="B198" s="5" t="s">
        <v>94</v>
      </c>
      <c r="C198" s="5" t="s">
        <v>49</v>
      </c>
      <c r="D198" s="5" t="s">
        <v>395</v>
      </c>
      <c r="E198" s="6">
        <v>23</v>
      </c>
      <c r="F198" s="6">
        <v>6</v>
      </c>
      <c r="G198" s="6">
        <v>138</v>
      </c>
      <c r="H198" s="5" t="s">
        <v>51</v>
      </c>
      <c r="I198" s="5" t="s">
        <v>39</v>
      </c>
      <c r="J198" s="7">
        <v>44843</v>
      </c>
      <c r="K198" s="8" t="b">
        <v>1</v>
      </c>
      <c r="L198" s="9" t="s">
        <v>35</v>
      </c>
    </row>
    <row r="199" spans="1:12" ht="45.75" thickBot="1" x14ac:dyDescent="0.3">
      <c r="A199" s="10" t="s">
        <v>470</v>
      </c>
      <c r="B199" s="11" t="s">
        <v>19</v>
      </c>
      <c r="C199" s="11" t="s">
        <v>158</v>
      </c>
      <c r="D199" s="11" t="s">
        <v>471</v>
      </c>
      <c r="E199" s="12">
        <v>32</v>
      </c>
      <c r="F199" s="12">
        <v>9</v>
      </c>
      <c r="G199" s="12">
        <v>288</v>
      </c>
      <c r="H199" s="11" t="s">
        <v>51</v>
      </c>
      <c r="I199" s="11" t="s">
        <v>16</v>
      </c>
      <c r="J199" s="15">
        <v>44718</v>
      </c>
      <c r="K199" s="13" t="b">
        <v>0</v>
      </c>
      <c r="L199" s="14" t="s">
        <v>17</v>
      </c>
    </row>
    <row r="200" spans="1:12" ht="15.75" thickBot="1" x14ac:dyDescent="0.3">
      <c r="A200" s="4" t="s">
        <v>472</v>
      </c>
      <c r="B200" s="5" t="s">
        <v>90</v>
      </c>
      <c r="C200" s="5" t="s">
        <v>49</v>
      </c>
      <c r="D200" s="5" t="s">
        <v>100</v>
      </c>
      <c r="E200" s="6">
        <v>33.5</v>
      </c>
      <c r="F200" s="6">
        <v>5</v>
      </c>
      <c r="G200" s="6">
        <v>167.5</v>
      </c>
      <c r="H200" s="5" t="s">
        <v>15</v>
      </c>
      <c r="I200" s="5" t="s">
        <v>39</v>
      </c>
      <c r="J200" s="7">
        <v>45604</v>
      </c>
      <c r="K200" s="8" t="b">
        <v>0</v>
      </c>
      <c r="L200" s="9" t="s">
        <v>35</v>
      </c>
    </row>
    <row r="201" spans="1:12" ht="45.75" thickBot="1" x14ac:dyDescent="0.3">
      <c r="A201" s="10" t="s">
        <v>473</v>
      </c>
      <c r="B201" s="11" t="s">
        <v>74</v>
      </c>
      <c r="C201" s="11" t="s">
        <v>158</v>
      </c>
      <c r="D201" s="11" t="s">
        <v>439</v>
      </c>
      <c r="E201" s="12">
        <v>20</v>
      </c>
      <c r="F201" s="12">
        <v>3</v>
      </c>
      <c r="G201" s="12">
        <v>60</v>
      </c>
      <c r="H201" s="11" t="s">
        <v>51</v>
      </c>
      <c r="I201" s="11" t="s">
        <v>16</v>
      </c>
      <c r="J201" s="12" t="s">
        <v>474</v>
      </c>
      <c r="K201" s="13" t="b">
        <v>0</v>
      </c>
      <c r="L201" s="14" t="s">
        <v>32</v>
      </c>
    </row>
    <row r="202" spans="1:12" ht="15.75" thickBot="1" x14ac:dyDescent="0.3">
      <c r="A202" s="4" t="s">
        <v>475</v>
      </c>
      <c r="B202" s="5" t="s">
        <v>117</v>
      </c>
      <c r="C202" s="5" t="s">
        <v>30</v>
      </c>
      <c r="D202" s="5" t="s">
        <v>476</v>
      </c>
      <c r="E202" s="6">
        <v>41</v>
      </c>
      <c r="F202" s="6">
        <v>3</v>
      </c>
      <c r="G202" s="6">
        <v>123</v>
      </c>
      <c r="H202" s="5" t="s">
        <v>15</v>
      </c>
      <c r="I202" s="5" t="s">
        <v>39</v>
      </c>
      <c r="J202" s="6" t="s">
        <v>477</v>
      </c>
      <c r="K202" s="8" t="b">
        <v>0</v>
      </c>
      <c r="L202" s="9" t="s">
        <v>35</v>
      </c>
    </row>
    <row r="203" spans="1:12" ht="45.75" thickBot="1" x14ac:dyDescent="0.3">
      <c r="A203" s="10" t="s">
        <v>478</v>
      </c>
      <c r="B203" s="11" t="s">
        <v>120</v>
      </c>
      <c r="C203" s="11" t="s">
        <v>75</v>
      </c>
      <c r="D203" s="11" t="s">
        <v>479</v>
      </c>
      <c r="E203" s="12">
        <v>21.5</v>
      </c>
      <c r="F203" s="12">
        <v>2</v>
      </c>
      <c r="G203" s="12">
        <v>43</v>
      </c>
      <c r="H203" s="11" t="s">
        <v>15</v>
      </c>
      <c r="I203" s="11" t="s">
        <v>39</v>
      </c>
      <c r="J203" s="15">
        <v>45178</v>
      </c>
      <c r="K203" s="13" t="b">
        <v>1</v>
      </c>
      <c r="L203" s="14" t="s">
        <v>32</v>
      </c>
    </row>
    <row r="204" spans="1:12" ht="45.75" thickBot="1" x14ac:dyDescent="0.3">
      <c r="A204" s="4" t="s">
        <v>480</v>
      </c>
      <c r="B204" s="5" t="s">
        <v>206</v>
      </c>
      <c r="C204" s="5" t="s">
        <v>75</v>
      </c>
      <c r="D204" s="5" t="s">
        <v>481</v>
      </c>
      <c r="E204" s="6">
        <v>36.5</v>
      </c>
      <c r="F204" s="6">
        <v>2</v>
      </c>
      <c r="G204" s="6">
        <v>73</v>
      </c>
      <c r="H204" s="5" t="s">
        <v>15</v>
      </c>
      <c r="I204" s="5" t="s">
        <v>39</v>
      </c>
      <c r="J204" s="6" t="s">
        <v>482</v>
      </c>
      <c r="K204" s="8" t="b">
        <v>0</v>
      </c>
      <c r="L204" s="9" t="s">
        <v>32</v>
      </c>
    </row>
    <row r="205" spans="1:12" ht="15.75" thickBot="1" x14ac:dyDescent="0.3">
      <c r="A205" s="10" t="s">
        <v>483</v>
      </c>
      <c r="B205" s="11" t="s">
        <v>149</v>
      </c>
      <c r="C205" s="11" t="s">
        <v>42</v>
      </c>
      <c r="D205" s="11" t="s">
        <v>251</v>
      </c>
      <c r="E205" s="12">
        <v>39.5</v>
      </c>
      <c r="F205" s="12">
        <v>5</v>
      </c>
      <c r="G205" s="12">
        <v>197.5</v>
      </c>
      <c r="H205" s="11" t="s">
        <v>27</v>
      </c>
      <c r="I205" s="11" t="s">
        <v>39</v>
      </c>
      <c r="J205" s="12" t="s">
        <v>484</v>
      </c>
      <c r="K205" s="11"/>
      <c r="L205" s="14" t="s">
        <v>35</v>
      </c>
    </row>
    <row r="206" spans="1:12" ht="15.75" thickBot="1" x14ac:dyDescent="0.3">
      <c r="A206" s="4" t="s">
        <v>485</v>
      </c>
      <c r="B206" s="5" t="s">
        <v>71</v>
      </c>
      <c r="C206" s="5" t="s">
        <v>13</v>
      </c>
      <c r="D206" s="5" t="s">
        <v>486</v>
      </c>
      <c r="E206" s="6">
        <v>23</v>
      </c>
      <c r="F206" s="6">
        <v>3</v>
      </c>
      <c r="G206" s="6">
        <v>69</v>
      </c>
      <c r="H206" s="5" t="s">
        <v>15</v>
      </c>
      <c r="I206" s="5" t="s">
        <v>16</v>
      </c>
      <c r="J206" s="6" t="s">
        <v>487</v>
      </c>
      <c r="K206" s="8" t="b">
        <v>1</v>
      </c>
      <c r="L206" s="9" t="s">
        <v>32</v>
      </c>
    </row>
    <row r="207" spans="1:12" ht="15.75" thickBot="1" x14ac:dyDescent="0.3">
      <c r="A207" s="10" t="s">
        <v>488</v>
      </c>
      <c r="B207" s="11" t="s">
        <v>90</v>
      </c>
      <c r="C207" s="11" t="s">
        <v>30</v>
      </c>
      <c r="D207" s="11" t="s">
        <v>209</v>
      </c>
      <c r="E207" s="12">
        <v>30.5</v>
      </c>
      <c r="F207" s="12">
        <v>2</v>
      </c>
      <c r="G207" s="12">
        <v>61</v>
      </c>
      <c r="H207" s="11" t="s">
        <v>51</v>
      </c>
      <c r="I207" s="11" t="s">
        <v>39</v>
      </c>
      <c r="J207" s="12" t="s">
        <v>417</v>
      </c>
      <c r="K207" s="13" t="b">
        <v>0</v>
      </c>
      <c r="L207" s="14" t="s">
        <v>32</v>
      </c>
    </row>
    <row r="208" spans="1:12" ht="45.75" thickBot="1" x14ac:dyDescent="0.3">
      <c r="A208" s="4" t="s">
        <v>489</v>
      </c>
      <c r="B208" s="5" t="s">
        <v>106</v>
      </c>
      <c r="C208" s="5" t="s">
        <v>158</v>
      </c>
      <c r="D208" s="5" t="s">
        <v>306</v>
      </c>
      <c r="E208" s="6">
        <v>35</v>
      </c>
      <c r="F208" s="6">
        <v>4</v>
      </c>
      <c r="G208" s="6">
        <v>140</v>
      </c>
      <c r="H208" s="5" t="s">
        <v>15</v>
      </c>
      <c r="I208" s="5" t="s">
        <v>39</v>
      </c>
      <c r="J208" s="6" t="s">
        <v>490</v>
      </c>
      <c r="K208" s="8" t="b">
        <v>0</v>
      </c>
      <c r="L208" s="9" t="s">
        <v>35</v>
      </c>
    </row>
    <row r="209" spans="1:12" ht="45.75" thickBot="1" x14ac:dyDescent="0.3">
      <c r="A209" s="10" t="s">
        <v>491</v>
      </c>
      <c r="B209" s="11" t="s">
        <v>94</v>
      </c>
      <c r="C209" s="11" t="s">
        <v>158</v>
      </c>
      <c r="D209" s="11" t="s">
        <v>353</v>
      </c>
      <c r="E209" s="12">
        <v>6.5</v>
      </c>
      <c r="F209" s="12">
        <v>8</v>
      </c>
      <c r="G209" s="12">
        <v>52</v>
      </c>
      <c r="H209" s="11" t="s">
        <v>27</v>
      </c>
      <c r="I209" s="11" t="s">
        <v>16</v>
      </c>
      <c r="J209" s="15">
        <v>45181</v>
      </c>
      <c r="K209" s="13" t="b">
        <v>0</v>
      </c>
      <c r="L209" s="14" t="s">
        <v>32</v>
      </c>
    </row>
    <row r="210" spans="1:12" ht="45.75" thickBot="1" x14ac:dyDescent="0.3">
      <c r="A210" s="4" t="s">
        <v>492</v>
      </c>
      <c r="B210" s="5" t="s">
        <v>130</v>
      </c>
      <c r="C210" s="5" t="s">
        <v>75</v>
      </c>
      <c r="D210" s="5" t="s">
        <v>493</v>
      </c>
      <c r="E210" s="6">
        <v>29</v>
      </c>
      <c r="F210" s="6">
        <v>4</v>
      </c>
      <c r="G210" s="6">
        <v>116</v>
      </c>
      <c r="H210" s="5" t="s">
        <v>51</v>
      </c>
      <c r="I210" s="5" t="s">
        <v>16</v>
      </c>
      <c r="J210" s="6" t="s">
        <v>494</v>
      </c>
      <c r="K210" s="8" t="b">
        <v>0</v>
      </c>
      <c r="L210" s="9" t="s">
        <v>35</v>
      </c>
    </row>
    <row r="211" spans="1:12" ht="45.75" thickBot="1" x14ac:dyDescent="0.3">
      <c r="A211" s="10" t="s">
        <v>495</v>
      </c>
      <c r="B211" s="11" t="s">
        <v>140</v>
      </c>
      <c r="C211" s="11" t="s">
        <v>158</v>
      </c>
      <c r="D211" s="11" t="s">
        <v>306</v>
      </c>
      <c r="E211" s="12">
        <v>35</v>
      </c>
      <c r="F211" s="12">
        <v>2</v>
      </c>
      <c r="G211" s="12">
        <v>70</v>
      </c>
      <c r="H211" s="11" t="s">
        <v>27</v>
      </c>
      <c r="I211" s="11" t="s">
        <v>39</v>
      </c>
      <c r="J211" s="12" t="s">
        <v>496</v>
      </c>
      <c r="K211" s="13" t="b">
        <v>0</v>
      </c>
      <c r="L211" s="14" t="s">
        <v>32</v>
      </c>
    </row>
    <row r="212" spans="1:12" ht="15.75" thickBot="1" x14ac:dyDescent="0.3">
      <c r="A212" s="4" t="s">
        <v>497</v>
      </c>
      <c r="B212" s="5" t="s">
        <v>117</v>
      </c>
      <c r="C212" s="5" t="s">
        <v>49</v>
      </c>
      <c r="D212" s="5" t="s">
        <v>288</v>
      </c>
      <c r="E212" s="6">
        <v>15.5</v>
      </c>
      <c r="F212" s="6">
        <v>3</v>
      </c>
      <c r="G212" s="6">
        <v>46.5</v>
      </c>
      <c r="H212" s="5" t="s">
        <v>15</v>
      </c>
      <c r="I212" s="5" t="s">
        <v>39</v>
      </c>
      <c r="J212" s="7">
        <v>44783</v>
      </c>
      <c r="K212" s="5"/>
      <c r="L212" s="9" t="s">
        <v>32</v>
      </c>
    </row>
    <row r="213" spans="1:12" ht="15.75" thickBot="1" x14ac:dyDescent="0.3">
      <c r="A213" s="10" t="s">
        <v>498</v>
      </c>
      <c r="B213" s="11" t="s">
        <v>60</v>
      </c>
      <c r="C213" s="11" t="s">
        <v>13</v>
      </c>
      <c r="D213" s="11" t="s">
        <v>212</v>
      </c>
      <c r="E213" s="12">
        <v>5</v>
      </c>
      <c r="F213" s="12">
        <v>7</v>
      </c>
      <c r="G213" s="12">
        <v>35</v>
      </c>
      <c r="H213" s="11" t="s">
        <v>15</v>
      </c>
      <c r="I213" s="11" t="s">
        <v>16</v>
      </c>
      <c r="J213" s="15">
        <v>45608</v>
      </c>
      <c r="K213" s="13" t="b">
        <v>0</v>
      </c>
      <c r="L213" s="14" t="s">
        <v>32</v>
      </c>
    </row>
    <row r="214" spans="1:12" ht="15.75" thickBot="1" x14ac:dyDescent="0.3">
      <c r="A214" s="4" t="s">
        <v>499</v>
      </c>
      <c r="B214" s="5" t="s">
        <v>117</v>
      </c>
      <c r="C214" s="5" t="s">
        <v>30</v>
      </c>
      <c r="D214" s="5" t="s">
        <v>31</v>
      </c>
      <c r="E214" s="6">
        <v>12.5</v>
      </c>
      <c r="F214" s="6">
        <v>4</v>
      </c>
      <c r="G214" s="6">
        <v>50</v>
      </c>
      <c r="H214" s="5" t="s">
        <v>51</v>
      </c>
      <c r="I214" s="5" t="s">
        <v>16</v>
      </c>
      <c r="J214" s="6" t="s">
        <v>482</v>
      </c>
      <c r="K214" s="8" t="b">
        <v>0</v>
      </c>
      <c r="L214" s="9" t="s">
        <v>32</v>
      </c>
    </row>
    <row r="215" spans="1:12" ht="15.75" thickBot="1" x14ac:dyDescent="0.3">
      <c r="A215" s="10" t="s">
        <v>500</v>
      </c>
      <c r="B215" s="11" t="s">
        <v>29</v>
      </c>
      <c r="C215" s="11" t="s">
        <v>49</v>
      </c>
      <c r="D215" s="11" t="s">
        <v>501</v>
      </c>
      <c r="E215" s="12">
        <v>41</v>
      </c>
      <c r="F215" s="12">
        <v>3</v>
      </c>
      <c r="G215" s="12">
        <v>123</v>
      </c>
      <c r="H215" s="11" t="s">
        <v>27</v>
      </c>
      <c r="I215" s="11" t="s">
        <v>16</v>
      </c>
      <c r="J215" s="15">
        <v>45453</v>
      </c>
      <c r="K215" s="13" t="b">
        <v>1</v>
      </c>
      <c r="L215" s="14" t="s">
        <v>35</v>
      </c>
    </row>
    <row r="216" spans="1:12" ht="15.75" thickBot="1" x14ac:dyDescent="0.3">
      <c r="A216" s="4" t="s">
        <v>502</v>
      </c>
      <c r="B216" s="5" t="s">
        <v>48</v>
      </c>
      <c r="C216" s="5" t="s">
        <v>49</v>
      </c>
      <c r="D216" s="5" t="s">
        <v>137</v>
      </c>
      <c r="E216" s="6">
        <v>38</v>
      </c>
      <c r="F216" s="6">
        <v>2</v>
      </c>
      <c r="G216" s="6">
        <v>76</v>
      </c>
      <c r="H216" s="5" t="s">
        <v>15</v>
      </c>
      <c r="I216" s="5" t="s">
        <v>39</v>
      </c>
      <c r="J216" s="7">
        <v>45383</v>
      </c>
      <c r="K216" s="8" t="b">
        <v>0</v>
      </c>
      <c r="L216" s="9" t="s">
        <v>32</v>
      </c>
    </row>
    <row r="217" spans="1:12" ht="15.75" thickBot="1" x14ac:dyDescent="0.3">
      <c r="A217" s="10" t="s">
        <v>503</v>
      </c>
      <c r="B217" s="11" t="s">
        <v>19</v>
      </c>
      <c r="C217" s="11" t="s">
        <v>13</v>
      </c>
      <c r="D217" s="11"/>
      <c r="E217" s="11"/>
      <c r="F217" s="12">
        <v>8</v>
      </c>
      <c r="G217" s="12">
        <v>40</v>
      </c>
      <c r="H217" s="11" t="s">
        <v>51</v>
      </c>
      <c r="I217" s="11" t="s">
        <v>16</v>
      </c>
      <c r="J217" s="15">
        <v>45201</v>
      </c>
      <c r="K217" s="11"/>
      <c r="L217" s="14" t="s">
        <v>32</v>
      </c>
    </row>
    <row r="218" spans="1:12" ht="45.75" thickBot="1" x14ac:dyDescent="0.3">
      <c r="A218" s="4" t="s">
        <v>504</v>
      </c>
      <c r="B218" s="5" t="s">
        <v>19</v>
      </c>
      <c r="C218" s="5" t="s">
        <v>158</v>
      </c>
      <c r="D218" s="5" t="s">
        <v>505</v>
      </c>
      <c r="E218" s="6">
        <v>9.5</v>
      </c>
      <c r="F218" s="6">
        <v>5</v>
      </c>
      <c r="G218" s="6">
        <v>47.5</v>
      </c>
      <c r="H218" s="5" t="s">
        <v>27</v>
      </c>
      <c r="I218" s="5" t="s">
        <v>16</v>
      </c>
      <c r="J218" s="6" t="s">
        <v>506</v>
      </c>
      <c r="K218" s="5"/>
      <c r="L218" s="9" t="s">
        <v>32</v>
      </c>
    </row>
    <row r="219" spans="1:12" ht="45.75" thickBot="1" x14ac:dyDescent="0.3">
      <c r="A219" s="10" t="s">
        <v>507</v>
      </c>
      <c r="B219" s="11" t="s">
        <v>117</v>
      </c>
      <c r="C219" s="11" t="s">
        <v>158</v>
      </c>
      <c r="D219" s="11" t="s">
        <v>306</v>
      </c>
      <c r="E219" s="12">
        <v>35</v>
      </c>
      <c r="F219" s="12">
        <v>7</v>
      </c>
      <c r="G219" s="12">
        <v>245</v>
      </c>
      <c r="H219" s="11" t="s">
        <v>51</v>
      </c>
      <c r="I219" s="11" t="s">
        <v>16</v>
      </c>
      <c r="J219" s="15">
        <v>45268</v>
      </c>
      <c r="K219" s="13" t="b">
        <v>0</v>
      </c>
      <c r="L219" s="14" t="s">
        <v>17</v>
      </c>
    </row>
    <row r="220" spans="1:12" ht="15.75" thickBot="1" x14ac:dyDescent="0.3">
      <c r="A220" s="4" t="s">
        <v>508</v>
      </c>
      <c r="B220" s="5" t="s">
        <v>29</v>
      </c>
      <c r="C220" s="5" t="s">
        <v>13</v>
      </c>
      <c r="D220" s="5" t="s">
        <v>14</v>
      </c>
      <c r="E220" s="6">
        <v>18.5</v>
      </c>
      <c r="F220" s="6">
        <v>3</v>
      </c>
      <c r="G220" s="6">
        <v>55.5</v>
      </c>
      <c r="H220" s="5" t="s">
        <v>51</v>
      </c>
      <c r="I220" s="5" t="s">
        <v>39</v>
      </c>
      <c r="J220" s="6" t="s">
        <v>173</v>
      </c>
      <c r="K220" s="8" t="b">
        <v>0</v>
      </c>
      <c r="L220" s="9" t="s">
        <v>32</v>
      </c>
    </row>
    <row r="221" spans="1:12" ht="15.75" thickBot="1" x14ac:dyDescent="0.3">
      <c r="A221" s="10" t="s">
        <v>509</v>
      </c>
      <c r="B221" s="11" t="s">
        <v>86</v>
      </c>
      <c r="C221" s="11" t="s">
        <v>20</v>
      </c>
      <c r="D221" s="11" t="s">
        <v>510</v>
      </c>
      <c r="E221" s="12">
        <v>6.5</v>
      </c>
      <c r="F221" s="12">
        <v>1</v>
      </c>
      <c r="G221" s="12">
        <v>6.5</v>
      </c>
      <c r="H221" s="11" t="s">
        <v>15</v>
      </c>
      <c r="I221" s="11" t="s">
        <v>16</v>
      </c>
      <c r="J221" s="15">
        <v>45357</v>
      </c>
      <c r="K221" s="13" t="b">
        <v>0</v>
      </c>
      <c r="L221" s="14" t="s">
        <v>32</v>
      </c>
    </row>
    <row r="222" spans="1:12" ht="15.75" thickBot="1" x14ac:dyDescent="0.3">
      <c r="A222" s="4" t="s">
        <v>511</v>
      </c>
      <c r="B222" s="5" t="s">
        <v>90</v>
      </c>
      <c r="C222" s="5" t="s">
        <v>25</v>
      </c>
      <c r="D222" s="5" t="s">
        <v>125</v>
      </c>
      <c r="E222" s="6">
        <v>41</v>
      </c>
      <c r="F222" s="6">
        <v>2</v>
      </c>
      <c r="G222" s="6">
        <v>82</v>
      </c>
      <c r="H222" s="5" t="s">
        <v>15</v>
      </c>
      <c r="I222" s="5" t="s">
        <v>16</v>
      </c>
      <c r="J222" s="7">
        <v>45454</v>
      </c>
      <c r="K222" s="5"/>
      <c r="L222" s="9" t="s">
        <v>32</v>
      </c>
    </row>
    <row r="223" spans="1:12" ht="15.75" thickBot="1" x14ac:dyDescent="0.3">
      <c r="A223" s="10" t="s">
        <v>512</v>
      </c>
      <c r="B223" s="11" t="s">
        <v>140</v>
      </c>
      <c r="C223" s="11" t="s">
        <v>20</v>
      </c>
      <c r="D223" s="11" t="s">
        <v>253</v>
      </c>
      <c r="E223" s="12">
        <v>15.5</v>
      </c>
      <c r="F223" s="12">
        <v>6</v>
      </c>
      <c r="G223" s="12">
        <v>93</v>
      </c>
      <c r="H223" s="11" t="s">
        <v>15</v>
      </c>
      <c r="I223" s="11" t="s">
        <v>39</v>
      </c>
      <c r="J223" s="12" t="s">
        <v>513</v>
      </c>
      <c r="K223" s="13" t="b">
        <v>0</v>
      </c>
      <c r="L223" s="14" t="s">
        <v>32</v>
      </c>
    </row>
    <row r="224" spans="1:12" ht="45.75" thickBot="1" x14ac:dyDescent="0.3">
      <c r="A224" s="4" t="s">
        <v>514</v>
      </c>
      <c r="B224" s="5" t="s">
        <v>44</v>
      </c>
      <c r="C224" s="5" t="s">
        <v>158</v>
      </c>
      <c r="D224" s="5" t="s">
        <v>422</v>
      </c>
      <c r="E224" s="6">
        <v>30.5</v>
      </c>
      <c r="F224" s="6">
        <v>5</v>
      </c>
      <c r="G224" s="6">
        <v>152.5</v>
      </c>
      <c r="H224" s="5" t="s">
        <v>27</v>
      </c>
      <c r="I224" s="5" t="s">
        <v>16</v>
      </c>
      <c r="J224" s="7">
        <v>44814</v>
      </c>
      <c r="K224" s="8" t="b">
        <v>1</v>
      </c>
      <c r="L224" s="9" t="s">
        <v>35</v>
      </c>
    </row>
    <row r="225" spans="1:12" ht="15.75" thickBot="1" x14ac:dyDescent="0.3">
      <c r="A225" s="10" t="s">
        <v>515</v>
      </c>
      <c r="B225" s="11" t="s">
        <v>140</v>
      </c>
      <c r="C225" s="11" t="s">
        <v>13</v>
      </c>
      <c r="D225" s="11" t="s">
        <v>61</v>
      </c>
      <c r="E225" s="12">
        <v>39.5</v>
      </c>
      <c r="F225" s="12">
        <v>3</v>
      </c>
      <c r="G225" s="12">
        <v>118.5</v>
      </c>
      <c r="H225" s="11" t="s">
        <v>27</v>
      </c>
      <c r="I225" s="11" t="s">
        <v>16</v>
      </c>
      <c r="J225" s="12" t="s">
        <v>516</v>
      </c>
      <c r="K225" s="11"/>
      <c r="L225" s="14" t="s">
        <v>35</v>
      </c>
    </row>
    <row r="226" spans="1:12" ht="15.75" thickBot="1" x14ac:dyDescent="0.3">
      <c r="A226" s="4" t="s">
        <v>517</v>
      </c>
      <c r="B226" s="5" t="s">
        <v>136</v>
      </c>
      <c r="C226" s="5" t="s">
        <v>49</v>
      </c>
      <c r="D226" s="5" t="s">
        <v>518</v>
      </c>
      <c r="E226" s="6">
        <v>5</v>
      </c>
      <c r="F226" s="6">
        <v>7</v>
      </c>
      <c r="G226" s="6">
        <v>35</v>
      </c>
      <c r="H226" s="5" t="s">
        <v>15</v>
      </c>
      <c r="I226" s="5" t="s">
        <v>39</v>
      </c>
      <c r="J226" s="6" t="s">
        <v>190</v>
      </c>
      <c r="K226" s="5"/>
      <c r="L226" s="9" t="s">
        <v>32</v>
      </c>
    </row>
    <row r="227" spans="1:12" ht="15.75" thickBot="1" x14ac:dyDescent="0.3">
      <c r="A227" s="10" t="s">
        <v>519</v>
      </c>
      <c r="B227" s="11" t="s">
        <v>120</v>
      </c>
      <c r="C227" s="11" t="s">
        <v>30</v>
      </c>
      <c r="D227" s="11" t="s">
        <v>476</v>
      </c>
      <c r="E227" s="12">
        <v>41</v>
      </c>
      <c r="F227" s="12">
        <v>3</v>
      </c>
      <c r="G227" s="12">
        <v>123</v>
      </c>
      <c r="H227" s="11" t="s">
        <v>27</v>
      </c>
      <c r="I227" s="11" t="s">
        <v>39</v>
      </c>
      <c r="J227" s="12" t="s">
        <v>520</v>
      </c>
      <c r="K227" s="13" t="b">
        <v>0</v>
      </c>
      <c r="L227" s="14" t="s">
        <v>35</v>
      </c>
    </row>
    <row r="228" spans="1:12" ht="15.75" thickBot="1" x14ac:dyDescent="0.3">
      <c r="A228" s="4" t="s">
        <v>521</v>
      </c>
      <c r="B228" s="5" t="s">
        <v>106</v>
      </c>
      <c r="C228" s="5" t="s">
        <v>13</v>
      </c>
      <c r="D228" s="5" t="s">
        <v>115</v>
      </c>
      <c r="E228" s="6">
        <v>12.5</v>
      </c>
      <c r="F228" s="6">
        <v>2</v>
      </c>
      <c r="G228" s="6">
        <v>25</v>
      </c>
      <c r="H228" s="5" t="s">
        <v>15</v>
      </c>
      <c r="I228" s="5" t="s">
        <v>39</v>
      </c>
      <c r="J228" s="7">
        <v>44996</v>
      </c>
      <c r="K228" s="8" t="b">
        <v>0</v>
      </c>
      <c r="L228" s="9" t="s">
        <v>32</v>
      </c>
    </row>
    <row r="229" spans="1:12" ht="15.75" thickBot="1" x14ac:dyDescent="0.3">
      <c r="A229" s="10" t="s">
        <v>522</v>
      </c>
      <c r="B229" s="11" t="s">
        <v>19</v>
      </c>
      <c r="C229" s="11" t="s">
        <v>25</v>
      </c>
      <c r="D229" s="11" t="s">
        <v>523</v>
      </c>
      <c r="E229" s="12">
        <v>21.5</v>
      </c>
      <c r="F229" s="12">
        <v>8</v>
      </c>
      <c r="G229" s="12">
        <v>172</v>
      </c>
      <c r="H229" s="11" t="s">
        <v>15</v>
      </c>
      <c r="I229" s="11" t="s">
        <v>39</v>
      </c>
      <c r="J229" s="12" t="s">
        <v>524</v>
      </c>
      <c r="K229" s="13" t="b">
        <v>0</v>
      </c>
      <c r="L229" s="14" t="s">
        <v>35</v>
      </c>
    </row>
    <row r="230" spans="1:12" ht="15.75" thickBot="1" x14ac:dyDescent="0.3">
      <c r="A230" s="4" t="s">
        <v>525</v>
      </c>
      <c r="B230" s="5" t="s">
        <v>120</v>
      </c>
      <c r="C230" s="5" t="s">
        <v>49</v>
      </c>
      <c r="D230" s="5" t="s">
        <v>275</v>
      </c>
      <c r="E230" s="6">
        <v>35</v>
      </c>
      <c r="F230" s="6">
        <v>8</v>
      </c>
      <c r="G230" s="6">
        <v>280</v>
      </c>
      <c r="H230" s="5" t="s">
        <v>27</v>
      </c>
      <c r="I230" s="5" t="s">
        <v>39</v>
      </c>
      <c r="J230" s="6" t="s">
        <v>526</v>
      </c>
      <c r="K230" s="8" t="b">
        <v>1</v>
      </c>
      <c r="L230" s="9" t="s">
        <v>17</v>
      </c>
    </row>
    <row r="231" spans="1:12" ht="15.75" thickBot="1" x14ac:dyDescent="0.3">
      <c r="A231" s="10" t="s">
        <v>527</v>
      </c>
      <c r="B231" s="11" t="s">
        <v>29</v>
      </c>
      <c r="C231" s="11" t="s">
        <v>49</v>
      </c>
      <c r="D231" s="11" t="s">
        <v>137</v>
      </c>
      <c r="E231" s="12">
        <v>38</v>
      </c>
      <c r="F231" s="12">
        <v>5</v>
      </c>
      <c r="G231" s="12">
        <v>190</v>
      </c>
      <c r="H231" s="11" t="s">
        <v>27</v>
      </c>
      <c r="I231" s="11" t="s">
        <v>16</v>
      </c>
      <c r="J231" s="12" t="s">
        <v>528</v>
      </c>
      <c r="K231" s="11"/>
      <c r="L231" s="14" t="s">
        <v>35</v>
      </c>
    </row>
    <row r="232" spans="1:12" ht="15.75" thickBot="1" x14ac:dyDescent="0.3">
      <c r="A232" s="4" t="s">
        <v>529</v>
      </c>
      <c r="B232" s="5" t="s">
        <v>41</v>
      </c>
      <c r="C232" s="5" t="s">
        <v>49</v>
      </c>
      <c r="D232" s="5" t="s">
        <v>163</v>
      </c>
      <c r="E232" s="6">
        <v>27.5</v>
      </c>
      <c r="F232" s="6">
        <v>7</v>
      </c>
      <c r="G232" s="6">
        <v>192.5</v>
      </c>
      <c r="H232" s="5" t="s">
        <v>15</v>
      </c>
      <c r="I232" s="5" t="s">
        <v>16</v>
      </c>
      <c r="J232" s="7">
        <v>44897</v>
      </c>
      <c r="K232" s="8" t="b">
        <v>0</v>
      </c>
      <c r="L232" s="9" t="s">
        <v>35</v>
      </c>
    </row>
    <row r="233" spans="1:12" ht="15.75" thickBot="1" x14ac:dyDescent="0.3">
      <c r="A233" s="10" t="s">
        <v>530</v>
      </c>
      <c r="B233" s="11" t="s">
        <v>71</v>
      </c>
      <c r="C233" s="11" t="s">
        <v>30</v>
      </c>
      <c r="D233" s="11"/>
      <c r="E233" s="12">
        <v>30.5</v>
      </c>
      <c r="F233" s="11"/>
      <c r="G233" s="11"/>
      <c r="H233" s="11" t="s">
        <v>51</v>
      </c>
      <c r="I233" s="11" t="s">
        <v>16</v>
      </c>
      <c r="J233" s="12" t="s">
        <v>531</v>
      </c>
      <c r="K233" s="11"/>
      <c r="L233" s="14" t="s">
        <v>32</v>
      </c>
    </row>
    <row r="234" spans="1:12" ht="45.75" thickBot="1" x14ac:dyDescent="0.3">
      <c r="A234" s="4" t="s">
        <v>532</v>
      </c>
      <c r="B234" s="5" t="s">
        <v>127</v>
      </c>
      <c r="C234" s="5" t="s">
        <v>75</v>
      </c>
      <c r="D234" s="5" t="s">
        <v>144</v>
      </c>
      <c r="E234" s="6">
        <v>18.5</v>
      </c>
      <c r="F234" s="6">
        <v>4</v>
      </c>
      <c r="G234" s="6">
        <v>74</v>
      </c>
      <c r="H234" s="5" t="s">
        <v>15</v>
      </c>
      <c r="I234" s="5" t="s">
        <v>16</v>
      </c>
      <c r="J234" s="6" t="s">
        <v>533</v>
      </c>
      <c r="K234" s="5"/>
      <c r="L234" s="9" t="s">
        <v>32</v>
      </c>
    </row>
    <row r="235" spans="1:12" ht="45.75" thickBot="1" x14ac:dyDescent="0.3">
      <c r="A235" s="10" t="s">
        <v>534</v>
      </c>
      <c r="B235" s="11" t="s">
        <v>60</v>
      </c>
      <c r="C235" s="11" t="s">
        <v>75</v>
      </c>
      <c r="D235" s="11"/>
      <c r="E235" s="12">
        <v>38</v>
      </c>
      <c r="F235" s="11"/>
      <c r="G235" s="11"/>
      <c r="H235" s="11" t="s">
        <v>51</v>
      </c>
      <c r="I235" s="11" t="s">
        <v>16</v>
      </c>
      <c r="J235" s="12" t="s">
        <v>535</v>
      </c>
      <c r="K235" s="13" t="b">
        <v>0</v>
      </c>
      <c r="L235" s="14" t="s">
        <v>32</v>
      </c>
    </row>
    <row r="236" spans="1:12" ht="15.75" thickBot="1" x14ac:dyDescent="0.3">
      <c r="A236" s="4" t="s">
        <v>536</v>
      </c>
      <c r="B236" s="5" t="s">
        <v>24</v>
      </c>
      <c r="C236" s="5" t="s">
        <v>30</v>
      </c>
      <c r="D236" s="5" t="s">
        <v>537</v>
      </c>
      <c r="E236" s="6">
        <v>11</v>
      </c>
      <c r="F236" s="6">
        <v>6</v>
      </c>
      <c r="G236" s="6">
        <v>66</v>
      </c>
      <c r="H236" s="5" t="s">
        <v>27</v>
      </c>
      <c r="I236" s="5" t="s">
        <v>39</v>
      </c>
      <c r="J236" s="7">
        <v>44840</v>
      </c>
      <c r="K236" s="5"/>
      <c r="L236" s="9" t="s">
        <v>32</v>
      </c>
    </row>
    <row r="237" spans="1:12" ht="45.75" thickBot="1" x14ac:dyDescent="0.3">
      <c r="A237" s="10" t="s">
        <v>538</v>
      </c>
      <c r="B237" s="11" t="s">
        <v>120</v>
      </c>
      <c r="C237" s="11" t="s">
        <v>75</v>
      </c>
      <c r="D237" s="11" t="s">
        <v>121</v>
      </c>
      <c r="E237" s="12">
        <v>35</v>
      </c>
      <c r="F237" s="12">
        <v>3</v>
      </c>
      <c r="G237" s="12">
        <v>105</v>
      </c>
      <c r="H237" s="11" t="s">
        <v>27</v>
      </c>
      <c r="I237" s="11" t="s">
        <v>16</v>
      </c>
      <c r="J237" s="12" t="s">
        <v>539</v>
      </c>
      <c r="K237" s="13" t="b">
        <v>1</v>
      </c>
      <c r="L237" s="14" t="s">
        <v>35</v>
      </c>
    </row>
    <row r="238" spans="1:12" ht="15.75" thickBot="1" x14ac:dyDescent="0.3">
      <c r="A238" s="4" t="s">
        <v>540</v>
      </c>
      <c r="B238" s="5" t="s">
        <v>90</v>
      </c>
      <c r="C238" s="5" t="s">
        <v>25</v>
      </c>
      <c r="D238" s="5" t="s">
        <v>125</v>
      </c>
      <c r="E238" s="6">
        <v>41</v>
      </c>
      <c r="F238" s="6">
        <v>5</v>
      </c>
      <c r="G238" s="6">
        <v>205</v>
      </c>
      <c r="H238" s="5" t="s">
        <v>51</v>
      </c>
      <c r="I238" s="5" t="s">
        <v>39</v>
      </c>
      <c r="J238" s="7">
        <v>45270</v>
      </c>
      <c r="K238" s="5"/>
      <c r="L238" s="9" t="s">
        <v>17</v>
      </c>
    </row>
    <row r="239" spans="1:12" ht="15.75" thickBot="1" x14ac:dyDescent="0.3">
      <c r="A239" s="10" t="s">
        <v>541</v>
      </c>
      <c r="B239" s="11" t="s">
        <v>41</v>
      </c>
      <c r="C239" s="11" t="s">
        <v>30</v>
      </c>
      <c r="D239" s="11" t="s">
        <v>155</v>
      </c>
      <c r="E239" s="12">
        <v>21.5</v>
      </c>
      <c r="F239" s="12">
        <v>7</v>
      </c>
      <c r="G239" s="12">
        <v>150.5</v>
      </c>
      <c r="H239" s="11" t="s">
        <v>15</v>
      </c>
      <c r="I239" s="11" t="s">
        <v>39</v>
      </c>
      <c r="J239" s="12" t="s">
        <v>542</v>
      </c>
      <c r="K239" s="13" t="b">
        <v>0</v>
      </c>
      <c r="L239" s="14" t="s">
        <v>35</v>
      </c>
    </row>
    <row r="240" spans="1:12" ht="45.75" thickBot="1" x14ac:dyDescent="0.3">
      <c r="A240" s="4" t="s">
        <v>543</v>
      </c>
      <c r="B240" s="5" t="s">
        <v>130</v>
      </c>
      <c r="C240" s="5" t="s">
        <v>158</v>
      </c>
      <c r="D240" s="5" t="s">
        <v>168</v>
      </c>
      <c r="E240" s="6">
        <v>11</v>
      </c>
      <c r="F240" s="6">
        <v>10</v>
      </c>
      <c r="G240" s="6">
        <v>110</v>
      </c>
      <c r="H240" s="5" t="s">
        <v>51</v>
      </c>
      <c r="I240" s="5" t="s">
        <v>16</v>
      </c>
      <c r="J240" s="6" t="s">
        <v>544</v>
      </c>
      <c r="K240" s="5"/>
      <c r="L240" s="9" t="s">
        <v>35</v>
      </c>
    </row>
    <row r="241" spans="1:12" ht="15.75" thickBot="1" x14ac:dyDescent="0.3">
      <c r="A241" s="10" t="s">
        <v>545</v>
      </c>
      <c r="B241" s="11" t="s">
        <v>106</v>
      </c>
      <c r="C241" s="11" t="s">
        <v>20</v>
      </c>
      <c r="D241" s="11" t="s">
        <v>348</v>
      </c>
      <c r="E241" s="12">
        <v>5</v>
      </c>
      <c r="F241" s="12">
        <v>2</v>
      </c>
      <c r="G241" s="12">
        <v>10</v>
      </c>
      <c r="H241" s="11" t="s">
        <v>15</v>
      </c>
      <c r="I241" s="11" t="s">
        <v>16</v>
      </c>
      <c r="J241" s="15">
        <v>45112</v>
      </c>
      <c r="K241" s="13" t="b">
        <v>1</v>
      </c>
      <c r="L241" s="14" t="s">
        <v>32</v>
      </c>
    </row>
    <row r="242" spans="1:12" ht="15.75" thickBot="1" x14ac:dyDescent="0.3">
      <c r="A242" s="4" t="s">
        <v>546</v>
      </c>
      <c r="B242" s="5" t="s">
        <v>117</v>
      </c>
      <c r="C242" s="5" t="s">
        <v>20</v>
      </c>
      <c r="D242" s="5" t="s">
        <v>264</v>
      </c>
      <c r="E242" s="6">
        <v>9.5</v>
      </c>
      <c r="F242" s="6">
        <v>2</v>
      </c>
      <c r="G242" s="6">
        <v>19</v>
      </c>
      <c r="H242" s="5" t="s">
        <v>27</v>
      </c>
      <c r="I242" s="5" t="s">
        <v>39</v>
      </c>
      <c r="J242" s="6" t="s">
        <v>547</v>
      </c>
      <c r="K242" s="8" t="b">
        <v>0</v>
      </c>
      <c r="L242" s="9" t="s">
        <v>32</v>
      </c>
    </row>
    <row r="243" spans="1:12" ht="15.75" thickBot="1" x14ac:dyDescent="0.3">
      <c r="A243" s="10" t="s">
        <v>548</v>
      </c>
      <c r="B243" s="11" t="s">
        <v>12</v>
      </c>
      <c r="C243" s="11" t="s">
        <v>20</v>
      </c>
      <c r="D243" s="11" t="s">
        <v>510</v>
      </c>
      <c r="E243" s="12">
        <v>6.5</v>
      </c>
      <c r="F243" s="12">
        <v>1</v>
      </c>
      <c r="G243" s="12">
        <v>6.5</v>
      </c>
      <c r="H243" s="11" t="s">
        <v>51</v>
      </c>
      <c r="I243" s="11" t="s">
        <v>16</v>
      </c>
      <c r="J243" s="12" t="s">
        <v>442</v>
      </c>
      <c r="K243" s="11"/>
      <c r="L243" s="14" t="s">
        <v>32</v>
      </c>
    </row>
    <row r="244" spans="1:12" ht="15.75" thickBot="1" x14ac:dyDescent="0.3">
      <c r="A244" s="4" t="s">
        <v>549</v>
      </c>
      <c r="B244" s="5" t="s">
        <v>106</v>
      </c>
      <c r="C244" s="5" t="s">
        <v>30</v>
      </c>
      <c r="D244" s="5" t="s">
        <v>152</v>
      </c>
      <c r="E244" s="6">
        <v>8</v>
      </c>
      <c r="F244" s="6">
        <v>6</v>
      </c>
      <c r="G244" s="6">
        <v>48</v>
      </c>
      <c r="H244" s="5" t="s">
        <v>27</v>
      </c>
      <c r="I244" s="5" t="s">
        <v>39</v>
      </c>
      <c r="J244" s="7">
        <v>45566</v>
      </c>
      <c r="K244" s="8" t="b">
        <v>0</v>
      </c>
      <c r="L244" s="9" t="s">
        <v>32</v>
      </c>
    </row>
    <row r="245" spans="1:12" ht="45.75" thickBot="1" x14ac:dyDescent="0.3">
      <c r="A245" s="10" t="s">
        <v>550</v>
      </c>
      <c r="B245" s="11" t="s">
        <v>127</v>
      </c>
      <c r="C245" s="11" t="s">
        <v>75</v>
      </c>
      <c r="D245" s="11" t="s">
        <v>121</v>
      </c>
      <c r="E245" s="12">
        <v>35</v>
      </c>
      <c r="F245" s="12">
        <v>5</v>
      </c>
      <c r="G245" s="12">
        <v>175</v>
      </c>
      <c r="H245" s="11" t="s">
        <v>15</v>
      </c>
      <c r="I245" s="11" t="s">
        <v>16</v>
      </c>
      <c r="J245" s="15">
        <v>44899</v>
      </c>
      <c r="K245" s="13" t="b">
        <v>0</v>
      </c>
      <c r="L245" s="14" t="s">
        <v>35</v>
      </c>
    </row>
    <row r="246" spans="1:12" ht="45.75" thickBot="1" x14ac:dyDescent="0.3">
      <c r="A246" s="4" t="s">
        <v>551</v>
      </c>
      <c r="B246" s="5" t="s">
        <v>99</v>
      </c>
      <c r="C246" s="5" t="s">
        <v>75</v>
      </c>
      <c r="D246" s="5" t="s">
        <v>552</v>
      </c>
      <c r="E246" s="6">
        <v>41</v>
      </c>
      <c r="F246" s="6">
        <v>9</v>
      </c>
      <c r="G246" s="6">
        <v>369</v>
      </c>
      <c r="H246" s="5" t="s">
        <v>15</v>
      </c>
      <c r="I246" s="5" t="s">
        <v>39</v>
      </c>
      <c r="J246" s="6" t="s">
        <v>553</v>
      </c>
      <c r="K246" s="5"/>
      <c r="L246" s="9" t="s">
        <v>17</v>
      </c>
    </row>
    <row r="247" spans="1:12" ht="15.75" thickBot="1" x14ac:dyDescent="0.3">
      <c r="A247" s="10" t="s">
        <v>554</v>
      </c>
      <c r="B247" s="11" t="s">
        <v>130</v>
      </c>
      <c r="C247" s="11" t="s">
        <v>13</v>
      </c>
      <c r="D247" s="11" t="s">
        <v>110</v>
      </c>
      <c r="E247" s="12">
        <v>36.5</v>
      </c>
      <c r="F247" s="12">
        <v>7</v>
      </c>
      <c r="G247" s="12">
        <v>255.5</v>
      </c>
      <c r="H247" s="11" t="s">
        <v>15</v>
      </c>
      <c r="I247" s="11" t="s">
        <v>16</v>
      </c>
      <c r="J247" s="15">
        <v>45418</v>
      </c>
      <c r="K247" s="11"/>
      <c r="L247" s="14" t="s">
        <v>17</v>
      </c>
    </row>
    <row r="248" spans="1:12" ht="45.75" thickBot="1" x14ac:dyDescent="0.3">
      <c r="A248" s="4" t="s">
        <v>555</v>
      </c>
      <c r="B248" s="5" t="s">
        <v>149</v>
      </c>
      <c r="C248" s="5" t="s">
        <v>75</v>
      </c>
      <c r="D248" s="5"/>
      <c r="E248" s="5"/>
      <c r="F248" s="6">
        <v>7</v>
      </c>
      <c r="G248" s="6">
        <v>150.5</v>
      </c>
      <c r="H248" s="5" t="s">
        <v>51</v>
      </c>
      <c r="I248" s="5" t="s">
        <v>16</v>
      </c>
      <c r="J248" s="6" t="s">
        <v>556</v>
      </c>
      <c r="K248" s="5"/>
      <c r="L248" s="9" t="s">
        <v>35</v>
      </c>
    </row>
    <row r="249" spans="1:12" ht="15.75" thickBot="1" x14ac:dyDescent="0.3">
      <c r="A249" s="10" t="s">
        <v>557</v>
      </c>
      <c r="B249" s="11" t="s">
        <v>74</v>
      </c>
      <c r="C249" s="11" t="s">
        <v>25</v>
      </c>
      <c r="D249" s="11" t="s">
        <v>345</v>
      </c>
      <c r="E249" s="12">
        <v>12.5</v>
      </c>
      <c r="F249" s="12">
        <v>3</v>
      </c>
      <c r="G249" s="12">
        <v>37.5</v>
      </c>
      <c r="H249" s="11" t="s">
        <v>27</v>
      </c>
      <c r="I249" s="11" t="s">
        <v>39</v>
      </c>
      <c r="J249" s="12" t="s">
        <v>558</v>
      </c>
      <c r="K249" s="13" t="b">
        <v>0</v>
      </c>
      <c r="L249" s="14" t="s">
        <v>32</v>
      </c>
    </row>
    <row r="250" spans="1:12" ht="15.75" thickBot="1" x14ac:dyDescent="0.3">
      <c r="A250" s="4" t="s">
        <v>559</v>
      </c>
      <c r="B250" s="5" t="s">
        <v>48</v>
      </c>
      <c r="C250" s="5" t="s">
        <v>49</v>
      </c>
      <c r="D250" s="5" t="s">
        <v>560</v>
      </c>
      <c r="E250" s="6">
        <v>21.5</v>
      </c>
      <c r="F250" s="6">
        <v>7</v>
      </c>
      <c r="G250" s="6">
        <v>150.5</v>
      </c>
      <c r="H250" s="5" t="s">
        <v>27</v>
      </c>
      <c r="I250" s="5" t="s">
        <v>39</v>
      </c>
      <c r="J250" s="7">
        <v>44565</v>
      </c>
      <c r="K250" s="5"/>
      <c r="L250" s="9" t="s">
        <v>35</v>
      </c>
    </row>
    <row r="251" spans="1:12" ht="15.75" thickBot="1" x14ac:dyDescent="0.3">
      <c r="A251" s="10" t="s">
        <v>561</v>
      </c>
      <c r="B251" s="11" t="s">
        <v>29</v>
      </c>
      <c r="C251" s="11" t="s">
        <v>20</v>
      </c>
      <c r="D251" s="11" t="s">
        <v>510</v>
      </c>
      <c r="E251" s="12">
        <v>6.5</v>
      </c>
      <c r="F251" s="12">
        <v>10</v>
      </c>
      <c r="G251" s="12">
        <v>65</v>
      </c>
      <c r="H251" s="11" t="s">
        <v>27</v>
      </c>
      <c r="I251" s="11" t="s">
        <v>39</v>
      </c>
      <c r="J251" s="12" t="s">
        <v>562</v>
      </c>
      <c r="K251" s="11"/>
      <c r="L251" s="14" t="s">
        <v>32</v>
      </c>
    </row>
    <row r="252" spans="1:12" ht="45.75" thickBot="1" x14ac:dyDescent="0.3">
      <c r="A252" s="4" t="s">
        <v>563</v>
      </c>
      <c r="B252" s="5" t="s">
        <v>37</v>
      </c>
      <c r="C252" s="5" t="s">
        <v>158</v>
      </c>
      <c r="D252" s="5" t="s">
        <v>564</v>
      </c>
      <c r="E252" s="6">
        <v>17</v>
      </c>
      <c r="F252" s="6">
        <v>10</v>
      </c>
      <c r="G252" s="6">
        <v>170</v>
      </c>
      <c r="H252" s="5" t="s">
        <v>15</v>
      </c>
      <c r="I252" s="5" t="s">
        <v>39</v>
      </c>
      <c r="J252" s="6" t="s">
        <v>565</v>
      </c>
      <c r="K252" s="5"/>
      <c r="L252" s="9" t="s">
        <v>35</v>
      </c>
    </row>
    <row r="253" spans="1:12" ht="15.75" thickBot="1" x14ac:dyDescent="0.3">
      <c r="A253" s="10" t="s">
        <v>566</v>
      </c>
      <c r="B253" s="11" t="s">
        <v>117</v>
      </c>
      <c r="C253" s="11" t="s">
        <v>25</v>
      </c>
      <c r="D253" s="11" t="s">
        <v>150</v>
      </c>
      <c r="E253" s="12">
        <v>15.5</v>
      </c>
      <c r="F253" s="12">
        <v>5</v>
      </c>
      <c r="G253" s="12">
        <v>77.5</v>
      </c>
      <c r="H253" s="11" t="s">
        <v>15</v>
      </c>
      <c r="I253" s="11" t="s">
        <v>16</v>
      </c>
      <c r="J253" s="12" t="s">
        <v>567</v>
      </c>
      <c r="K253" s="13" t="b">
        <v>1</v>
      </c>
      <c r="L253" s="14" t="s">
        <v>32</v>
      </c>
    </row>
    <row r="254" spans="1:12" ht="15.75" thickBot="1" x14ac:dyDescent="0.3">
      <c r="A254" s="4" t="s">
        <v>568</v>
      </c>
      <c r="B254" s="5" t="s">
        <v>149</v>
      </c>
      <c r="C254" s="5" t="s">
        <v>42</v>
      </c>
      <c r="D254" s="5"/>
      <c r="E254" s="6">
        <v>12.5</v>
      </c>
      <c r="F254" s="5"/>
      <c r="G254" s="5"/>
      <c r="H254" s="5" t="s">
        <v>15</v>
      </c>
      <c r="I254" s="5" t="s">
        <v>16</v>
      </c>
      <c r="J254" s="6" t="s">
        <v>82</v>
      </c>
      <c r="K254" s="8" t="b">
        <v>0</v>
      </c>
      <c r="L254" s="9" t="s">
        <v>32</v>
      </c>
    </row>
    <row r="255" spans="1:12" ht="15.75" thickBot="1" x14ac:dyDescent="0.3">
      <c r="A255" s="10" t="s">
        <v>569</v>
      </c>
      <c r="B255" s="11" t="s">
        <v>60</v>
      </c>
      <c r="C255" s="11" t="s">
        <v>30</v>
      </c>
      <c r="D255" s="11" t="s">
        <v>91</v>
      </c>
      <c r="E255" s="12">
        <v>18.5</v>
      </c>
      <c r="F255" s="12">
        <v>7</v>
      </c>
      <c r="G255" s="12">
        <v>129.5</v>
      </c>
      <c r="H255" s="11" t="s">
        <v>51</v>
      </c>
      <c r="I255" s="11" t="s">
        <v>39</v>
      </c>
      <c r="J255" s="15">
        <v>45266</v>
      </c>
      <c r="K255" s="13" t="b">
        <v>0</v>
      </c>
      <c r="L255" s="14" t="s">
        <v>35</v>
      </c>
    </row>
    <row r="256" spans="1:12" ht="15.75" thickBot="1" x14ac:dyDescent="0.3">
      <c r="A256" s="4" t="s">
        <v>570</v>
      </c>
      <c r="B256" s="5" t="s">
        <v>71</v>
      </c>
      <c r="C256" s="5" t="s">
        <v>42</v>
      </c>
      <c r="D256" s="5" t="s">
        <v>392</v>
      </c>
      <c r="E256" s="6">
        <v>15.5</v>
      </c>
      <c r="F256" s="6">
        <v>1</v>
      </c>
      <c r="G256" s="6">
        <v>15.5</v>
      </c>
      <c r="H256" s="5" t="s">
        <v>27</v>
      </c>
      <c r="I256" s="5" t="s">
        <v>39</v>
      </c>
      <c r="J256" s="7">
        <v>44814</v>
      </c>
      <c r="K256" s="5"/>
      <c r="L256" s="9" t="s">
        <v>32</v>
      </c>
    </row>
    <row r="257" spans="1:12" ht="15.75" thickBot="1" x14ac:dyDescent="0.3">
      <c r="A257" s="10" t="s">
        <v>571</v>
      </c>
      <c r="B257" s="11" t="s">
        <v>140</v>
      </c>
      <c r="C257" s="11" t="s">
        <v>42</v>
      </c>
      <c r="D257" s="11" t="s">
        <v>95</v>
      </c>
      <c r="E257" s="12">
        <v>24.5</v>
      </c>
      <c r="F257" s="12">
        <v>1</v>
      </c>
      <c r="G257" s="12">
        <v>24.5</v>
      </c>
      <c r="H257" s="11" t="s">
        <v>15</v>
      </c>
      <c r="I257" s="11" t="s">
        <v>39</v>
      </c>
      <c r="J257" s="12" t="s">
        <v>572</v>
      </c>
      <c r="K257" s="11"/>
      <c r="L257" s="14" t="s">
        <v>32</v>
      </c>
    </row>
    <row r="258" spans="1:12" ht="15.75" thickBot="1" x14ac:dyDescent="0.3">
      <c r="A258" s="4" t="s">
        <v>573</v>
      </c>
      <c r="B258" s="5" t="s">
        <v>78</v>
      </c>
      <c r="C258" s="5" t="s">
        <v>20</v>
      </c>
      <c r="D258" s="5" t="s">
        <v>350</v>
      </c>
      <c r="E258" s="6">
        <v>39.5</v>
      </c>
      <c r="F258" s="6">
        <v>3</v>
      </c>
      <c r="G258" s="6">
        <v>118.5</v>
      </c>
      <c r="H258" s="5" t="s">
        <v>51</v>
      </c>
      <c r="I258" s="5" t="s">
        <v>16</v>
      </c>
      <c r="J258" s="7">
        <v>45141</v>
      </c>
      <c r="K258" s="5"/>
      <c r="L258" s="9" t="s">
        <v>35</v>
      </c>
    </row>
    <row r="259" spans="1:12" ht="15.75" thickBot="1" x14ac:dyDescent="0.3">
      <c r="A259" s="10" t="s">
        <v>574</v>
      </c>
      <c r="B259" s="11" t="s">
        <v>94</v>
      </c>
      <c r="C259" s="11" t="s">
        <v>30</v>
      </c>
      <c r="D259" s="11" t="s">
        <v>107</v>
      </c>
      <c r="E259" s="12">
        <v>24.5</v>
      </c>
      <c r="F259" s="12">
        <v>6</v>
      </c>
      <c r="G259" s="12">
        <v>147</v>
      </c>
      <c r="H259" s="11" t="s">
        <v>27</v>
      </c>
      <c r="I259" s="11" t="s">
        <v>16</v>
      </c>
      <c r="J259" s="15">
        <v>44929</v>
      </c>
      <c r="K259" s="13" t="b">
        <v>1</v>
      </c>
      <c r="L259" s="14" t="s">
        <v>35</v>
      </c>
    </row>
    <row r="260" spans="1:12" ht="15.75" thickBot="1" x14ac:dyDescent="0.3">
      <c r="A260" s="4" t="s">
        <v>575</v>
      </c>
      <c r="B260" s="5" t="s">
        <v>206</v>
      </c>
      <c r="C260" s="5" t="s">
        <v>30</v>
      </c>
      <c r="D260" s="5"/>
      <c r="E260" s="6">
        <v>20</v>
      </c>
      <c r="F260" s="5"/>
      <c r="G260" s="5"/>
      <c r="H260" s="5" t="s">
        <v>15</v>
      </c>
      <c r="I260" s="5" t="s">
        <v>39</v>
      </c>
      <c r="J260" s="6" t="s">
        <v>576</v>
      </c>
      <c r="K260" s="5"/>
      <c r="L260" s="9" t="s">
        <v>32</v>
      </c>
    </row>
    <row r="261" spans="1:12" ht="15.75" thickBot="1" x14ac:dyDescent="0.3">
      <c r="A261" s="10" t="s">
        <v>577</v>
      </c>
      <c r="B261" s="11" t="s">
        <v>99</v>
      </c>
      <c r="C261" s="11" t="s">
        <v>13</v>
      </c>
      <c r="D261" s="11" t="s">
        <v>115</v>
      </c>
      <c r="E261" s="12">
        <v>12.5</v>
      </c>
      <c r="F261" s="12">
        <v>3</v>
      </c>
      <c r="G261" s="12">
        <v>37.5</v>
      </c>
      <c r="H261" s="11" t="s">
        <v>51</v>
      </c>
      <c r="I261" s="11" t="s">
        <v>39</v>
      </c>
      <c r="J261" s="12" t="s">
        <v>265</v>
      </c>
      <c r="K261" s="13" t="b">
        <v>0</v>
      </c>
      <c r="L261" s="14" t="s">
        <v>32</v>
      </c>
    </row>
    <row r="262" spans="1:12" ht="15.75" thickBot="1" x14ac:dyDescent="0.3">
      <c r="A262" s="4" t="s">
        <v>578</v>
      </c>
      <c r="B262" s="5" t="s">
        <v>130</v>
      </c>
      <c r="C262" s="5" t="s">
        <v>49</v>
      </c>
      <c r="D262" s="5" t="s">
        <v>560</v>
      </c>
      <c r="E262" s="6">
        <v>21.5</v>
      </c>
      <c r="F262" s="6">
        <v>1</v>
      </c>
      <c r="G262" s="6">
        <v>21.5</v>
      </c>
      <c r="H262" s="5" t="s">
        <v>27</v>
      </c>
      <c r="I262" s="5" t="s">
        <v>16</v>
      </c>
      <c r="J262" s="6" t="s">
        <v>579</v>
      </c>
      <c r="K262" s="8" t="b">
        <v>0</v>
      </c>
      <c r="L262" s="9" t="s">
        <v>32</v>
      </c>
    </row>
    <row r="263" spans="1:12" ht="15.75" thickBot="1" x14ac:dyDescent="0.3">
      <c r="A263" s="10" t="s">
        <v>580</v>
      </c>
      <c r="B263" s="11" t="s">
        <v>206</v>
      </c>
      <c r="C263" s="11" t="s">
        <v>49</v>
      </c>
      <c r="D263" s="11" t="s">
        <v>288</v>
      </c>
      <c r="E263" s="12">
        <v>15.5</v>
      </c>
      <c r="F263" s="12">
        <v>3</v>
      </c>
      <c r="G263" s="12">
        <v>46.5</v>
      </c>
      <c r="H263" s="11" t="s">
        <v>27</v>
      </c>
      <c r="I263" s="11" t="s">
        <v>39</v>
      </c>
      <c r="J263" s="12" t="s">
        <v>257</v>
      </c>
      <c r="K263" s="13" t="b">
        <v>1</v>
      </c>
      <c r="L263" s="14" t="s">
        <v>32</v>
      </c>
    </row>
    <row r="264" spans="1:12" ht="15.75" thickBot="1" x14ac:dyDescent="0.3">
      <c r="A264" s="4" t="s">
        <v>581</v>
      </c>
      <c r="B264" s="5" t="s">
        <v>140</v>
      </c>
      <c r="C264" s="5" t="s">
        <v>42</v>
      </c>
      <c r="D264" s="5" t="s">
        <v>392</v>
      </c>
      <c r="E264" s="6">
        <v>15.5</v>
      </c>
      <c r="F264" s="6">
        <v>5</v>
      </c>
      <c r="G264" s="6">
        <v>77.5</v>
      </c>
      <c r="H264" s="5" t="s">
        <v>27</v>
      </c>
      <c r="I264" s="5" t="s">
        <v>39</v>
      </c>
      <c r="J264" s="6" t="s">
        <v>582</v>
      </c>
      <c r="K264" s="8" t="b">
        <v>1</v>
      </c>
      <c r="L264" s="9" t="s">
        <v>32</v>
      </c>
    </row>
    <row r="265" spans="1:12" ht="15.75" thickBot="1" x14ac:dyDescent="0.3">
      <c r="A265" s="10" t="s">
        <v>583</v>
      </c>
      <c r="B265" s="11" t="s">
        <v>130</v>
      </c>
      <c r="C265" s="11" t="s">
        <v>20</v>
      </c>
      <c r="D265" s="11" t="s">
        <v>367</v>
      </c>
      <c r="E265" s="12">
        <v>8</v>
      </c>
      <c r="F265" s="12">
        <v>9</v>
      </c>
      <c r="G265" s="12">
        <v>72</v>
      </c>
      <c r="H265" s="11" t="s">
        <v>51</v>
      </c>
      <c r="I265" s="11" t="s">
        <v>39</v>
      </c>
      <c r="J265" s="15">
        <v>44621</v>
      </c>
      <c r="K265" s="13" t="b">
        <v>0</v>
      </c>
      <c r="L265" s="14" t="s">
        <v>32</v>
      </c>
    </row>
    <row r="266" spans="1:12" ht="45.75" thickBot="1" x14ac:dyDescent="0.3">
      <c r="A266" s="4" t="s">
        <v>584</v>
      </c>
      <c r="B266" s="5" t="s">
        <v>86</v>
      </c>
      <c r="C266" s="5" t="s">
        <v>158</v>
      </c>
      <c r="D266" s="5" t="s">
        <v>168</v>
      </c>
      <c r="E266" s="6">
        <v>11</v>
      </c>
      <c r="F266" s="6">
        <v>5</v>
      </c>
      <c r="G266" s="6">
        <v>55</v>
      </c>
      <c r="H266" s="5" t="s">
        <v>51</v>
      </c>
      <c r="I266" s="5" t="s">
        <v>39</v>
      </c>
      <c r="J266" s="6" t="s">
        <v>585</v>
      </c>
      <c r="K266" s="5"/>
      <c r="L266" s="9" t="s">
        <v>32</v>
      </c>
    </row>
    <row r="267" spans="1:12" ht="45.75" thickBot="1" x14ac:dyDescent="0.3">
      <c r="A267" s="10" t="s">
        <v>586</v>
      </c>
      <c r="B267" s="11" t="s">
        <v>94</v>
      </c>
      <c r="C267" s="11" t="s">
        <v>158</v>
      </c>
      <c r="D267" s="11" t="s">
        <v>587</v>
      </c>
      <c r="E267" s="12">
        <v>5</v>
      </c>
      <c r="F267" s="12">
        <v>7</v>
      </c>
      <c r="G267" s="12">
        <v>35</v>
      </c>
      <c r="H267" s="11" t="s">
        <v>27</v>
      </c>
      <c r="I267" s="11" t="s">
        <v>16</v>
      </c>
      <c r="J267" s="15">
        <v>44775</v>
      </c>
      <c r="K267" s="13" t="b">
        <v>1</v>
      </c>
      <c r="L267" s="14" t="s">
        <v>32</v>
      </c>
    </row>
    <row r="268" spans="1:12" ht="15.75" thickBot="1" x14ac:dyDescent="0.3">
      <c r="A268" s="4" t="s">
        <v>588</v>
      </c>
      <c r="B268" s="5" t="s">
        <v>127</v>
      </c>
      <c r="C268" s="5" t="s">
        <v>13</v>
      </c>
      <c r="D268" s="5" t="s">
        <v>221</v>
      </c>
      <c r="E268" s="6">
        <v>14</v>
      </c>
      <c r="F268" s="6">
        <v>7</v>
      </c>
      <c r="G268" s="6">
        <v>98</v>
      </c>
      <c r="H268" s="5" t="s">
        <v>51</v>
      </c>
      <c r="I268" s="5" t="s">
        <v>16</v>
      </c>
      <c r="J268" s="7">
        <v>45393</v>
      </c>
      <c r="K268" s="5"/>
      <c r="L268" s="9" t="s">
        <v>32</v>
      </c>
    </row>
    <row r="269" spans="1:12" ht="15.75" thickBot="1" x14ac:dyDescent="0.3">
      <c r="A269" s="10" t="s">
        <v>589</v>
      </c>
      <c r="B269" s="11" t="s">
        <v>48</v>
      </c>
      <c r="C269" s="11" t="s">
        <v>20</v>
      </c>
      <c r="D269" s="11" t="s">
        <v>253</v>
      </c>
      <c r="E269" s="12">
        <v>15.5</v>
      </c>
      <c r="F269" s="12">
        <v>2</v>
      </c>
      <c r="G269" s="12">
        <v>31</v>
      </c>
      <c r="H269" s="11" t="s">
        <v>15</v>
      </c>
      <c r="I269" s="11" t="s">
        <v>39</v>
      </c>
      <c r="J269" s="15">
        <v>45298</v>
      </c>
      <c r="K269" s="11"/>
      <c r="L269" s="14" t="s">
        <v>32</v>
      </c>
    </row>
    <row r="270" spans="1:12" ht="15.75" thickBot="1" x14ac:dyDescent="0.3">
      <c r="A270" s="4" t="s">
        <v>590</v>
      </c>
      <c r="B270" s="5" t="s">
        <v>117</v>
      </c>
      <c r="C270" s="5" t="s">
        <v>49</v>
      </c>
      <c r="D270" s="5" t="s">
        <v>137</v>
      </c>
      <c r="E270" s="6">
        <v>38</v>
      </c>
      <c r="F270" s="6">
        <v>1</v>
      </c>
      <c r="G270" s="6">
        <v>38</v>
      </c>
      <c r="H270" s="5" t="s">
        <v>51</v>
      </c>
      <c r="I270" s="5" t="s">
        <v>39</v>
      </c>
      <c r="J270" s="6" t="s">
        <v>591</v>
      </c>
      <c r="K270" s="5"/>
      <c r="L270" s="9" t="s">
        <v>32</v>
      </c>
    </row>
    <row r="271" spans="1:12" ht="45.75" thickBot="1" x14ac:dyDescent="0.3">
      <c r="A271" s="10" t="s">
        <v>592</v>
      </c>
      <c r="B271" s="11" t="s">
        <v>71</v>
      </c>
      <c r="C271" s="11" t="s">
        <v>158</v>
      </c>
      <c r="D271" s="11" t="s">
        <v>379</v>
      </c>
      <c r="E271" s="12">
        <v>12.5</v>
      </c>
      <c r="F271" s="12">
        <v>1</v>
      </c>
      <c r="G271" s="12">
        <v>12.5</v>
      </c>
      <c r="H271" s="11" t="s">
        <v>15</v>
      </c>
      <c r="I271" s="11" t="s">
        <v>39</v>
      </c>
      <c r="J271" s="15">
        <v>45414</v>
      </c>
      <c r="K271" s="13" t="b">
        <v>0</v>
      </c>
      <c r="L271" s="14" t="s">
        <v>32</v>
      </c>
    </row>
    <row r="272" spans="1:12" ht="15.75" thickBot="1" x14ac:dyDescent="0.3">
      <c r="A272" s="4" t="s">
        <v>593</v>
      </c>
      <c r="B272" s="5" t="s">
        <v>74</v>
      </c>
      <c r="C272" s="5" t="s">
        <v>20</v>
      </c>
      <c r="D272" s="5"/>
      <c r="E272" s="5"/>
      <c r="F272" s="6">
        <v>9</v>
      </c>
      <c r="G272" s="6">
        <v>99</v>
      </c>
      <c r="H272" s="5" t="s">
        <v>15</v>
      </c>
      <c r="I272" s="5" t="s">
        <v>39</v>
      </c>
      <c r="J272" s="6" t="s">
        <v>594</v>
      </c>
      <c r="K272" s="5"/>
      <c r="L272" s="9" t="s">
        <v>32</v>
      </c>
    </row>
    <row r="273" spans="1:12" ht="45.75" thickBot="1" x14ac:dyDescent="0.3">
      <c r="A273" s="10" t="s">
        <v>595</v>
      </c>
      <c r="B273" s="11" t="s">
        <v>94</v>
      </c>
      <c r="C273" s="11" t="s">
        <v>158</v>
      </c>
      <c r="D273" s="11" t="s">
        <v>564</v>
      </c>
      <c r="E273" s="12">
        <v>17</v>
      </c>
      <c r="F273" s="12">
        <v>10</v>
      </c>
      <c r="G273" s="12">
        <v>170</v>
      </c>
      <c r="H273" s="11" t="s">
        <v>27</v>
      </c>
      <c r="I273" s="11" t="s">
        <v>39</v>
      </c>
      <c r="J273" s="15">
        <v>45333</v>
      </c>
      <c r="K273" s="11"/>
      <c r="L273" s="14" t="s">
        <v>35</v>
      </c>
    </row>
    <row r="274" spans="1:12" ht="15.75" thickBot="1" x14ac:dyDescent="0.3">
      <c r="A274" s="4" t="s">
        <v>596</v>
      </c>
      <c r="B274" s="5" t="s">
        <v>44</v>
      </c>
      <c r="C274" s="5" t="s">
        <v>42</v>
      </c>
      <c r="D274" s="5" t="s">
        <v>103</v>
      </c>
      <c r="E274" s="6">
        <v>41</v>
      </c>
      <c r="F274" s="6">
        <v>3</v>
      </c>
      <c r="G274" s="6">
        <v>123</v>
      </c>
      <c r="H274" s="5" t="s">
        <v>51</v>
      </c>
      <c r="I274" s="5" t="s">
        <v>39</v>
      </c>
      <c r="J274" s="6" t="s">
        <v>597</v>
      </c>
      <c r="K274" s="5"/>
      <c r="L274" s="9" t="s">
        <v>35</v>
      </c>
    </row>
    <row r="275" spans="1:12" ht="45.75" thickBot="1" x14ac:dyDescent="0.3">
      <c r="A275" s="10" t="s">
        <v>598</v>
      </c>
      <c r="B275" s="11" t="s">
        <v>29</v>
      </c>
      <c r="C275" s="11" t="s">
        <v>158</v>
      </c>
      <c r="D275" s="11" t="s">
        <v>471</v>
      </c>
      <c r="E275" s="12">
        <v>32</v>
      </c>
      <c r="F275" s="12">
        <v>4</v>
      </c>
      <c r="G275" s="12">
        <v>128</v>
      </c>
      <c r="H275" s="11" t="s">
        <v>51</v>
      </c>
      <c r="I275" s="11" t="s">
        <v>39</v>
      </c>
      <c r="J275" s="15">
        <v>45516</v>
      </c>
      <c r="K275" s="13" t="b">
        <v>0</v>
      </c>
      <c r="L275" s="14" t="s">
        <v>35</v>
      </c>
    </row>
    <row r="276" spans="1:12" ht="15.75" thickBot="1" x14ac:dyDescent="0.3">
      <c r="A276" s="4" t="s">
        <v>599</v>
      </c>
      <c r="B276" s="5" t="s">
        <v>206</v>
      </c>
      <c r="C276" s="5" t="s">
        <v>42</v>
      </c>
      <c r="D276" s="5" t="s">
        <v>600</v>
      </c>
      <c r="E276" s="6">
        <v>26</v>
      </c>
      <c r="F276" s="6">
        <v>9</v>
      </c>
      <c r="G276" s="6">
        <v>234</v>
      </c>
      <c r="H276" s="5" t="s">
        <v>51</v>
      </c>
      <c r="I276" s="5" t="s">
        <v>39</v>
      </c>
      <c r="J276" s="6" t="s">
        <v>601</v>
      </c>
      <c r="K276" s="8" t="b">
        <v>0</v>
      </c>
      <c r="L276" s="9" t="s">
        <v>17</v>
      </c>
    </row>
    <row r="277" spans="1:12" ht="15.75" thickBot="1" x14ac:dyDescent="0.3">
      <c r="A277" s="10" t="s">
        <v>602</v>
      </c>
      <c r="B277" s="11" t="s">
        <v>78</v>
      </c>
      <c r="C277" s="11" t="s">
        <v>13</v>
      </c>
      <c r="D277" s="11" t="s">
        <v>603</v>
      </c>
      <c r="E277" s="12">
        <v>26</v>
      </c>
      <c r="F277" s="12">
        <v>9</v>
      </c>
      <c r="G277" s="12">
        <v>234</v>
      </c>
      <c r="H277" s="11" t="s">
        <v>15</v>
      </c>
      <c r="I277" s="11" t="s">
        <v>39</v>
      </c>
      <c r="J277" s="12" t="s">
        <v>604</v>
      </c>
      <c r="K277" s="13" t="b">
        <v>0</v>
      </c>
      <c r="L277" s="14" t="s">
        <v>17</v>
      </c>
    </row>
    <row r="278" spans="1:12" ht="45.75" thickBot="1" x14ac:dyDescent="0.3">
      <c r="A278" s="4" t="s">
        <v>605</v>
      </c>
      <c r="B278" s="5" t="s">
        <v>74</v>
      </c>
      <c r="C278" s="5" t="s">
        <v>158</v>
      </c>
      <c r="D278" s="5"/>
      <c r="E278" s="6">
        <v>32</v>
      </c>
      <c r="F278" s="5"/>
      <c r="G278" s="5"/>
      <c r="H278" s="5" t="s">
        <v>15</v>
      </c>
      <c r="I278" s="5" t="s">
        <v>39</v>
      </c>
      <c r="J278" s="6" t="s">
        <v>553</v>
      </c>
      <c r="K278" s="5"/>
      <c r="L278" s="9" t="s">
        <v>32</v>
      </c>
    </row>
    <row r="279" spans="1:12" ht="15.75" thickBot="1" x14ac:dyDescent="0.3">
      <c r="A279" s="10" t="s">
        <v>606</v>
      </c>
      <c r="B279" s="11" t="s">
        <v>206</v>
      </c>
      <c r="C279" s="11" t="s">
        <v>25</v>
      </c>
      <c r="D279" s="11" t="s">
        <v>398</v>
      </c>
      <c r="E279" s="12">
        <v>6.5</v>
      </c>
      <c r="F279" s="12">
        <v>9</v>
      </c>
      <c r="G279" s="12">
        <v>58.5</v>
      </c>
      <c r="H279" s="11" t="s">
        <v>15</v>
      </c>
      <c r="I279" s="11" t="s">
        <v>16</v>
      </c>
      <c r="J279" s="12" t="s">
        <v>607</v>
      </c>
      <c r="K279" s="11"/>
      <c r="L279" s="14" t="s">
        <v>32</v>
      </c>
    </row>
    <row r="280" spans="1:12" ht="15.75" thickBot="1" x14ac:dyDescent="0.3">
      <c r="A280" s="4" t="s">
        <v>608</v>
      </c>
      <c r="B280" s="5" t="s">
        <v>136</v>
      </c>
      <c r="C280" s="5" t="s">
        <v>25</v>
      </c>
      <c r="D280" s="5" t="s">
        <v>398</v>
      </c>
      <c r="E280" s="6">
        <v>6.5</v>
      </c>
      <c r="F280" s="6">
        <v>1</v>
      </c>
      <c r="G280" s="6">
        <v>6.5</v>
      </c>
      <c r="H280" s="5" t="s">
        <v>51</v>
      </c>
      <c r="I280" s="5" t="s">
        <v>39</v>
      </c>
      <c r="J280" s="6" t="s">
        <v>609</v>
      </c>
      <c r="K280" s="5"/>
      <c r="L280" s="9" t="s">
        <v>32</v>
      </c>
    </row>
    <row r="281" spans="1:12" ht="15.75" thickBot="1" x14ac:dyDescent="0.3">
      <c r="A281" s="10" t="s">
        <v>610</v>
      </c>
      <c r="B281" s="11" t="s">
        <v>106</v>
      </c>
      <c r="C281" s="11" t="s">
        <v>25</v>
      </c>
      <c r="D281" s="11"/>
      <c r="E281" s="11"/>
      <c r="F281" s="12">
        <v>6</v>
      </c>
      <c r="G281" s="12">
        <v>48</v>
      </c>
      <c r="H281" s="11" t="s">
        <v>51</v>
      </c>
      <c r="I281" s="11" t="s">
        <v>16</v>
      </c>
      <c r="J281" s="12" t="s">
        <v>611</v>
      </c>
      <c r="K281" s="13" t="b">
        <v>0</v>
      </c>
      <c r="L281" s="14" t="s">
        <v>32</v>
      </c>
    </row>
    <row r="282" spans="1:12" ht="45.75" thickBot="1" x14ac:dyDescent="0.3">
      <c r="A282" s="4" t="s">
        <v>612</v>
      </c>
      <c r="B282" s="5" t="s">
        <v>44</v>
      </c>
      <c r="C282" s="5" t="s">
        <v>158</v>
      </c>
      <c r="D282" s="5" t="s">
        <v>290</v>
      </c>
      <c r="E282" s="6">
        <v>18.5</v>
      </c>
      <c r="F282" s="6">
        <v>7</v>
      </c>
      <c r="G282" s="6">
        <v>129.5</v>
      </c>
      <c r="H282" s="5" t="s">
        <v>15</v>
      </c>
      <c r="I282" s="5" t="s">
        <v>16</v>
      </c>
      <c r="J282" s="6" t="s">
        <v>613</v>
      </c>
      <c r="K282" s="8" t="b">
        <v>1</v>
      </c>
      <c r="L282" s="9" t="s">
        <v>35</v>
      </c>
    </row>
    <row r="283" spans="1:12" ht="15.75" thickBot="1" x14ac:dyDescent="0.3">
      <c r="A283" s="10" t="s">
        <v>614</v>
      </c>
      <c r="B283" s="11" t="s">
        <v>136</v>
      </c>
      <c r="C283" s="11" t="s">
        <v>13</v>
      </c>
      <c r="D283" s="11" t="s">
        <v>61</v>
      </c>
      <c r="E283" s="12">
        <v>39.5</v>
      </c>
      <c r="F283" s="12">
        <v>6</v>
      </c>
      <c r="G283" s="12">
        <v>237</v>
      </c>
      <c r="H283" s="11" t="s">
        <v>15</v>
      </c>
      <c r="I283" s="11" t="s">
        <v>16</v>
      </c>
      <c r="J283" s="15">
        <v>45600</v>
      </c>
      <c r="K283" s="11"/>
      <c r="L283" s="14" t="s">
        <v>17</v>
      </c>
    </row>
    <row r="284" spans="1:12" ht="45.75" thickBot="1" x14ac:dyDescent="0.3">
      <c r="A284" s="4" t="s">
        <v>615</v>
      </c>
      <c r="B284" s="5" t="s">
        <v>117</v>
      </c>
      <c r="C284" s="5" t="s">
        <v>158</v>
      </c>
      <c r="D284" s="5" t="s">
        <v>168</v>
      </c>
      <c r="E284" s="6">
        <v>11</v>
      </c>
      <c r="F284" s="6">
        <v>5</v>
      </c>
      <c r="G284" s="6">
        <v>55</v>
      </c>
      <c r="H284" s="5" t="s">
        <v>51</v>
      </c>
      <c r="I284" s="5" t="s">
        <v>39</v>
      </c>
      <c r="J284" s="7">
        <v>44724</v>
      </c>
      <c r="K284" s="8" t="b">
        <v>0</v>
      </c>
      <c r="L284" s="9" t="s">
        <v>32</v>
      </c>
    </row>
    <row r="285" spans="1:12" ht="45.75" thickBot="1" x14ac:dyDescent="0.3">
      <c r="A285" s="10" t="s">
        <v>616</v>
      </c>
      <c r="B285" s="11" t="s">
        <v>78</v>
      </c>
      <c r="C285" s="11" t="s">
        <v>75</v>
      </c>
      <c r="D285" s="11" t="s">
        <v>617</v>
      </c>
      <c r="E285" s="12">
        <v>11</v>
      </c>
      <c r="F285" s="12">
        <v>6</v>
      </c>
      <c r="G285" s="12">
        <v>66</v>
      </c>
      <c r="H285" s="11" t="s">
        <v>15</v>
      </c>
      <c r="I285" s="11" t="s">
        <v>39</v>
      </c>
      <c r="J285" s="12" t="s">
        <v>618</v>
      </c>
      <c r="K285" s="13" t="b">
        <v>1</v>
      </c>
      <c r="L285" s="14" t="s">
        <v>32</v>
      </c>
    </row>
    <row r="286" spans="1:12" ht="15.75" thickBot="1" x14ac:dyDescent="0.3">
      <c r="A286" s="4" t="s">
        <v>619</v>
      </c>
      <c r="B286" s="5" t="s">
        <v>29</v>
      </c>
      <c r="C286" s="5" t="s">
        <v>25</v>
      </c>
      <c r="D286" s="5" t="s">
        <v>620</v>
      </c>
      <c r="E286" s="6">
        <v>5</v>
      </c>
      <c r="F286" s="6">
        <v>10</v>
      </c>
      <c r="G286" s="6">
        <v>50</v>
      </c>
      <c r="H286" s="5" t="s">
        <v>15</v>
      </c>
      <c r="I286" s="5" t="s">
        <v>16</v>
      </c>
      <c r="J286" s="6" t="s">
        <v>621</v>
      </c>
      <c r="K286" s="5"/>
      <c r="L286" s="9" t="s">
        <v>32</v>
      </c>
    </row>
    <row r="287" spans="1:12" ht="15.75" thickBot="1" x14ac:dyDescent="0.3">
      <c r="A287" s="10" t="s">
        <v>622</v>
      </c>
      <c r="B287" s="11" t="s">
        <v>106</v>
      </c>
      <c r="C287" s="11" t="s">
        <v>25</v>
      </c>
      <c r="D287" s="11" t="s">
        <v>322</v>
      </c>
      <c r="E287" s="12">
        <v>38</v>
      </c>
      <c r="F287" s="12">
        <v>7</v>
      </c>
      <c r="G287" s="12">
        <v>266</v>
      </c>
      <c r="H287" s="11" t="s">
        <v>15</v>
      </c>
      <c r="I287" s="11" t="s">
        <v>39</v>
      </c>
      <c r="J287" s="15">
        <v>44845</v>
      </c>
      <c r="K287" s="13" t="b">
        <v>0</v>
      </c>
      <c r="L287" s="14" t="s">
        <v>17</v>
      </c>
    </row>
    <row r="288" spans="1:12" ht="15.75" thickBot="1" x14ac:dyDescent="0.3">
      <c r="A288" s="4" t="s">
        <v>623</v>
      </c>
      <c r="B288" s="5" t="s">
        <v>37</v>
      </c>
      <c r="C288" s="5" t="s">
        <v>49</v>
      </c>
      <c r="D288" s="5" t="s">
        <v>395</v>
      </c>
      <c r="E288" s="6">
        <v>23</v>
      </c>
      <c r="F288" s="6">
        <v>6</v>
      </c>
      <c r="G288" s="6">
        <v>138</v>
      </c>
      <c r="H288" s="5" t="s">
        <v>51</v>
      </c>
      <c r="I288" s="5" t="s">
        <v>39</v>
      </c>
      <c r="J288" s="7">
        <v>45114</v>
      </c>
      <c r="K288" s="8" t="b">
        <v>1</v>
      </c>
      <c r="L288" s="9" t="s">
        <v>35</v>
      </c>
    </row>
    <row r="289" spans="1:12" ht="15.75" thickBot="1" x14ac:dyDescent="0.3">
      <c r="A289" s="10" t="s">
        <v>624</v>
      </c>
      <c r="B289" s="11" t="s">
        <v>94</v>
      </c>
      <c r="C289" s="11" t="s">
        <v>49</v>
      </c>
      <c r="D289" s="11" t="s">
        <v>625</v>
      </c>
      <c r="E289" s="12">
        <v>29</v>
      </c>
      <c r="F289" s="12">
        <v>1</v>
      </c>
      <c r="G289" s="12">
        <v>29</v>
      </c>
      <c r="H289" s="11" t="s">
        <v>15</v>
      </c>
      <c r="I289" s="11" t="s">
        <v>39</v>
      </c>
      <c r="J289" s="15">
        <v>44815</v>
      </c>
      <c r="K289" s="13" t="b">
        <v>0</v>
      </c>
      <c r="L289" s="14" t="s">
        <v>32</v>
      </c>
    </row>
    <row r="290" spans="1:12" ht="15.75" thickBot="1" x14ac:dyDescent="0.3">
      <c r="A290" s="4" t="s">
        <v>626</v>
      </c>
      <c r="B290" s="5" t="s">
        <v>19</v>
      </c>
      <c r="C290" s="5" t="s">
        <v>49</v>
      </c>
      <c r="D290" s="5" t="s">
        <v>100</v>
      </c>
      <c r="E290" s="6">
        <v>33.5</v>
      </c>
      <c r="F290" s="6">
        <v>5</v>
      </c>
      <c r="G290" s="6">
        <v>167.5</v>
      </c>
      <c r="H290" s="5" t="s">
        <v>27</v>
      </c>
      <c r="I290" s="5" t="s">
        <v>16</v>
      </c>
      <c r="J290" s="6" t="s">
        <v>247</v>
      </c>
      <c r="K290" s="8" t="b">
        <v>1</v>
      </c>
      <c r="L290" s="9" t="s">
        <v>35</v>
      </c>
    </row>
    <row r="291" spans="1:12" ht="15.75" thickBot="1" x14ac:dyDescent="0.3">
      <c r="A291" s="10" t="s">
        <v>627</v>
      </c>
      <c r="B291" s="11" t="s">
        <v>29</v>
      </c>
      <c r="C291" s="11" t="s">
        <v>20</v>
      </c>
      <c r="D291" s="11" t="s">
        <v>172</v>
      </c>
      <c r="E291" s="12">
        <v>32</v>
      </c>
      <c r="F291" s="12">
        <v>9</v>
      </c>
      <c r="G291" s="12">
        <v>288</v>
      </c>
      <c r="H291" s="11" t="s">
        <v>15</v>
      </c>
      <c r="I291" s="11" t="s">
        <v>16</v>
      </c>
      <c r="J291" s="12" t="s">
        <v>628</v>
      </c>
      <c r="K291" s="11"/>
      <c r="L291" s="14" t="s">
        <v>17</v>
      </c>
    </row>
    <row r="292" spans="1:12" ht="15.75" thickBot="1" x14ac:dyDescent="0.3">
      <c r="A292" s="4" t="s">
        <v>629</v>
      </c>
      <c r="B292" s="5" t="s">
        <v>206</v>
      </c>
      <c r="C292" s="5" t="s">
        <v>20</v>
      </c>
      <c r="D292" s="5" t="s">
        <v>350</v>
      </c>
      <c r="E292" s="6">
        <v>39.5</v>
      </c>
      <c r="F292" s="6">
        <v>4</v>
      </c>
      <c r="G292" s="6">
        <v>158</v>
      </c>
      <c r="H292" s="5" t="s">
        <v>27</v>
      </c>
      <c r="I292" s="5" t="s">
        <v>16</v>
      </c>
      <c r="J292" s="6" t="s">
        <v>630</v>
      </c>
      <c r="K292" s="8" t="b">
        <v>0</v>
      </c>
      <c r="L292" s="9" t="s">
        <v>35</v>
      </c>
    </row>
    <row r="293" spans="1:12" ht="45.75" thickBot="1" x14ac:dyDescent="0.3">
      <c r="A293" s="10" t="s">
        <v>631</v>
      </c>
      <c r="B293" s="11" t="s">
        <v>78</v>
      </c>
      <c r="C293" s="11" t="s">
        <v>158</v>
      </c>
      <c r="D293" s="11"/>
      <c r="E293" s="12">
        <v>15.5</v>
      </c>
      <c r="F293" s="11"/>
      <c r="G293" s="11"/>
      <c r="H293" s="11" t="s">
        <v>51</v>
      </c>
      <c r="I293" s="11" t="s">
        <v>39</v>
      </c>
      <c r="J293" s="15">
        <v>45515</v>
      </c>
      <c r="K293" s="11"/>
      <c r="L293" s="14" t="s">
        <v>32</v>
      </c>
    </row>
    <row r="294" spans="1:12" ht="15.75" thickBot="1" x14ac:dyDescent="0.3">
      <c r="A294" s="4" t="s">
        <v>632</v>
      </c>
      <c r="B294" s="5" t="s">
        <v>41</v>
      </c>
      <c r="C294" s="5" t="s">
        <v>20</v>
      </c>
      <c r="D294" s="5"/>
      <c r="E294" s="5"/>
      <c r="F294" s="6">
        <v>8</v>
      </c>
      <c r="G294" s="6">
        <v>268</v>
      </c>
      <c r="H294" s="5" t="s">
        <v>15</v>
      </c>
      <c r="I294" s="5" t="s">
        <v>16</v>
      </c>
      <c r="J294" s="7">
        <v>44844</v>
      </c>
      <c r="K294" s="8" t="b">
        <v>1</v>
      </c>
      <c r="L294" s="9" t="s">
        <v>17</v>
      </c>
    </row>
    <row r="295" spans="1:12" ht="45.75" thickBot="1" x14ac:dyDescent="0.3">
      <c r="A295" s="10" t="s">
        <v>633</v>
      </c>
      <c r="B295" s="11" t="s">
        <v>12</v>
      </c>
      <c r="C295" s="11" t="s">
        <v>75</v>
      </c>
      <c r="D295" s="11" t="s">
        <v>272</v>
      </c>
      <c r="E295" s="12">
        <v>12.5</v>
      </c>
      <c r="F295" s="12">
        <v>4</v>
      </c>
      <c r="G295" s="12">
        <v>50</v>
      </c>
      <c r="H295" s="11" t="s">
        <v>15</v>
      </c>
      <c r="I295" s="11" t="s">
        <v>39</v>
      </c>
      <c r="J295" s="15">
        <v>45108</v>
      </c>
      <c r="K295" s="13" t="b">
        <v>1</v>
      </c>
      <c r="L295" s="14" t="s">
        <v>32</v>
      </c>
    </row>
    <row r="296" spans="1:12" ht="15.75" thickBot="1" x14ac:dyDescent="0.3">
      <c r="A296" s="4" t="s">
        <v>634</v>
      </c>
      <c r="B296" s="5" t="s">
        <v>41</v>
      </c>
      <c r="C296" s="5" t="s">
        <v>25</v>
      </c>
      <c r="D296" s="5" t="s">
        <v>635</v>
      </c>
      <c r="E296" s="6">
        <v>8</v>
      </c>
      <c r="F296" s="6">
        <v>8</v>
      </c>
      <c r="G296" s="6">
        <v>64</v>
      </c>
      <c r="H296" s="5" t="s">
        <v>15</v>
      </c>
      <c r="I296" s="5" t="s">
        <v>16</v>
      </c>
      <c r="J296" s="6" t="s">
        <v>636</v>
      </c>
      <c r="K296" s="8" t="b">
        <v>1</v>
      </c>
      <c r="L296" s="9" t="s">
        <v>32</v>
      </c>
    </row>
    <row r="297" spans="1:12" ht="15.75" thickBot="1" x14ac:dyDescent="0.3">
      <c r="A297" s="10" t="s">
        <v>637</v>
      </c>
      <c r="B297" s="11" t="s">
        <v>78</v>
      </c>
      <c r="C297" s="11" t="s">
        <v>49</v>
      </c>
      <c r="D297" s="11" t="s">
        <v>288</v>
      </c>
      <c r="E297" s="12">
        <v>15.5</v>
      </c>
      <c r="F297" s="12">
        <v>1</v>
      </c>
      <c r="G297" s="12">
        <v>15.5</v>
      </c>
      <c r="H297" s="11" t="s">
        <v>15</v>
      </c>
      <c r="I297" s="11" t="s">
        <v>16</v>
      </c>
      <c r="J297" s="15">
        <v>45477</v>
      </c>
      <c r="K297" s="13" t="b">
        <v>1</v>
      </c>
      <c r="L297" s="14" t="s">
        <v>32</v>
      </c>
    </row>
    <row r="298" spans="1:12" ht="15.75" thickBot="1" x14ac:dyDescent="0.3">
      <c r="A298" s="4" t="s">
        <v>638</v>
      </c>
      <c r="B298" s="5" t="s">
        <v>78</v>
      </c>
      <c r="C298" s="5" t="s">
        <v>20</v>
      </c>
      <c r="D298" s="5" t="s">
        <v>172</v>
      </c>
      <c r="E298" s="6">
        <v>32</v>
      </c>
      <c r="F298" s="6">
        <v>4</v>
      </c>
      <c r="G298" s="6">
        <v>128</v>
      </c>
      <c r="H298" s="5" t="s">
        <v>27</v>
      </c>
      <c r="I298" s="5" t="s">
        <v>39</v>
      </c>
      <c r="J298" s="7">
        <v>44844</v>
      </c>
      <c r="K298" s="8" t="b">
        <v>0</v>
      </c>
      <c r="L298" s="9" t="s">
        <v>35</v>
      </c>
    </row>
    <row r="299" spans="1:12" ht="15.75" thickBot="1" x14ac:dyDescent="0.3">
      <c r="A299" s="10" t="s">
        <v>639</v>
      </c>
      <c r="B299" s="11" t="s">
        <v>130</v>
      </c>
      <c r="C299" s="11" t="s">
        <v>30</v>
      </c>
      <c r="D299" s="11" t="s">
        <v>640</v>
      </c>
      <c r="E299" s="12">
        <v>23</v>
      </c>
      <c r="F299" s="12">
        <v>5</v>
      </c>
      <c r="G299" s="12">
        <v>115</v>
      </c>
      <c r="H299" s="11" t="s">
        <v>51</v>
      </c>
      <c r="I299" s="11" t="s">
        <v>39</v>
      </c>
      <c r="J299" s="12" t="s">
        <v>52</v>
      </c>
      <c r="K299" s="13" t="b">
        <v>0</v>
      </c>
      <c r="L299" s="14" t="s">
        <v>35</v>
      </c>
    </row>
    <row r="300" spans="1:12" ht="15.75" thickBot="1" x14ac:dyDescent="0.3">
      <c r="A300" s="4" t="s">
        <v>641</v>
      </c>
      <c r="B300" s="5" t="s">
        <v>99</v>
      </c>
      <c r="C300" s="5" t="s">
        <v>25</v>
      </c>
      <c r="D300" s="5" t="s">
        <v>327</v>
      </c>
      <c r="E300" s="6">
        <v>32</v>
      </c>
      <c r="F300" s="6">
        <v>1</v>
      </c>
      <c r="G300" s="6">
        <v>32</v>
      </c>
      <c r="H300" s="5" t="s">
        <v>15</v>
      </c>
      <c r="I300" s="5" t="s">
        <v>39</v>
      </c>
      <c r="J300" s="7">
        <v>45112</v>
      </c>
      <c r="K300" s="8" t="b">
        <v>1</v>
      </c>
      <c r="L300" s="9" t="s">
        <v>32</v>
      </c>
    </row>
    <row r="301" spans="1:12" ht="15.75" thickBot="1" x14ac:dyDescent="0.3">
      <c r="A301" s="10" t="s">
        <v>642</v>
      </c>
      <c r="B301" s="11" t="s">
        <v>120</v>
      </c>
      <c r="C301" s="11" t="s">
        <v>42</v>
      </c>
      <c r="D301" s="11" t="s">
        <v>381</v>
      </c>
      <c r="E301" s="12">
        <v>6.5</v>
      </c>
      <c r="F301" s="12">
        <v>6</v>
      </c>
      <c r="G301" s="12">
        <v>39</v>
      </c>
      <c r="H301" s="11" t="s">
        <v>15</v>
      </c>
      <c r="I301" s="11" t="s">
        <v>16</v>
      </c>
      <c r="J301" s="12" t="s">
        <v>643</v>
      </c>
      <c r="K301" s="13" t="b">
        <v>1</v>
      </c>
      <c r="L301" s="14" t="s">
        <v>32</v>
      </c>
    </row>
    <row r="302" spans="1:12" ht="45.75" thickBot="1" x14ac:dyDescent="0.3">
      <c r="A302" s="4" t="s">
        <v>644</v>
      </c>
      <c r="B302" s="5" t="s">
        <v>130</v>
      </c>
      <c r="C302" s="5" t="s">
        <v>75</v>
      </c>
      <c r="D302" s="5" t="s">
        <v>645</v>
      </c>
      <c r="E302" s="6">
        <v>20</v>
      </c>
      <c r="F302" s="6">
        <v>4</v>
      </c>
      <c r="G302" s="6">
        <v>80</v>
      </c>
      <c r="H302" s="5" t="s">
        <v>51</v>
      </c>
      <c r="I302" s="5" t="s">
        <v>39</v>
      </c>
      <c r="J302" s="7">
        <v>45485</v>
      </c>
      <c r="K302" s="8" t="b">
        <v>1</v>
      </c>
      <c r="L302" s="9" t="s">
        <v>32</v>
      </c>
    </row>
    <row r="303" spans="1:12" ht="15.75" thickBot="1" x14ac:dyDescent="0.3">
      <c r="A303" s="10" t="s">
        <v>646</v>
      </c>
      <c r="B303" s="11" t="s">
        <v>106</v>
      </c>
      <c r="C303" s="11" t="s">
        <v>20</v>
      </c>
      <c r="D303" s="11" t="s">
        <v>647</v>
      </c>
      <c r="E303" s="12">
        <v>17</v>
      </c>
      <c r="F303" s="12">
        <v>7</v>
      </c>
      <c r="G303" s="12">
        <v>119</v>
      </c>
      <c r="H303" s="11" t="s">
        <v>27</v>
      </c>
      <c r="I303" s="11" t="s">
        <v>16</v>
      </c>
      <c r="J303" s="15">
        <v>44875</v>
      </c>
      <c r="K303" s="11"/>
      <c r="L303" s="14" t="s">
        <v>35</v>
      </c>
    </row>
    <row r="304" spans="1:12" ht="15.75" thickBot="1" x14ac:dyDescent="0.3">
      <c r="A304" s="4" t="s">
        <v>648</v>
      </c>
      <c r="B304" s="5" t="s">
        <v>99</v>
      </c>
      <c r="C304" s="5" t="s">
        <v>49</v>
      </c>
      <c r="D304" s="5" t="s">
        <v>146</v>
      </c>
      <c r="E304" s="6">
        <v>39.5</v>
      </c>
      <c r="F304" s="6">
        <v>7</v>
      </c>
      <c r="G304" s="6">
        <v>276.5</v>
      </c>
      <c r="H304" s="5" t="s">
        <v>51</v>
      </c>
      <c r="I304" s="5" t="s">
        <v>16</v>
      </c>
      <c r="J304" s="7">
        <v>45413</v>
      </c>
      <c r="K304" s="8" t="b">
        <v>1</v>
      </c>
      <c r="L304" s="9" t="s">
        <v>17</v>
      </c>
    </row>
    <row r="305" spans="1:12" ht="15.75" thickBot="1" x14ac:dyDescent="0.3">
      <c r="A305" s="10" t="s">
        <v>649</v>
      </c>
      <c r="B305" s="11" t="s">
        <v>94</v>
      </c>
      <c r="C305" s="11" t="s">
        <v>13</v>
      </c>
      <c r="D305" s="11" t="s">
        <v>161</v>
      </c>
      <c r="E305" s="12">
        <v>20</v>
      </c>
      <c r="F305" s="12">
        <v>4</v>
      </c>
      <c r="G305" s="12">
        <v>80</v>
      </c>
      <c r="H305" s="11" t="s">
        <v>51</v>
      </c>
      <c r="I305" s="11" t="s">
        <v>39</v>
      </c>
      <c r="J305" s="12" t="s">
        <v>650</v>
      </c>
      <c r="K305" s="13" t="b">
        <v>0</v>
      </c>
      <c r="L305" s="14" t="s">
        <v>32</v>
      </c>
    </row>
    <row r="306" spans="1:12" ht="15.75" thickBot="1" x14ac:dyDescent="0.3">
      <c r="A306" s="4" t="s">
        <v>651</v>
      </c>
      <c r="B306" s="5" t="s">
        <v>44</v>
      </c>
      <c r="C306" s="5" t="s">
        <v>30</v>
      </c>
      <c r="D306" s="5" t="s">
        <v>640</v>
      </c>
      <c r="E306" s="6">
        <v>23</v>
      </c>
      <c r="F306" s="6">
        <v>3</v>
      </c>
      <c r="G306" s="6">
        <v>69</v>
      </c>
      <c r="H306" s="5" t="s">
        <v>15</v>
      </c>
      <c r="I306" s="5" t="s">
        <v>39</v>
      </c>
      <c r="J306" s="6" t="s">
        <v>652</v>
      </c>
      <c r="K306" s="8" t="b">
        <v>0</v>
      </c>
      <c r="L306" s="9" t="s">
        <v>32</v>
      </c>
    </row>
    <row r="307" spans="1:12" ht="15.75" thickBot="1" x14ac:dyDescent="0.3">
      <c r="A307" s="10" t="s">
        <v>653</v>
      </c>
      <c r="B307" s="11" t="s">
        <v>71</v>
      </c>
      <c r="C307" s="11" t="s">
        <v>42</v>
      </c>
      <c r="D307" s="11" t="s">
        <v>251</v>
      </c>
      <c r="E307" s="12">
        <v>39.5</v>
      </c>
      <c r="F307" s="12">
        <v>9</v>
      </c>
      <c r="G307" s="12">
        <v>355.5</v>
      </c>
      <c r="H307" s="11" t="s">
        <v>15</v>
      </c>
      <c r="I307" s="11" t="s">
        <v>39</v>
      </c>
      <c r="J307" s="12" t="s">
        <v>411</v>
      </c>
      <c r="K307" s="13" t="b">
        <v>0</v>
      </c>
      <c r="L307" s="14" t="s">
        <v>17</v>
      </c>
    </row>
    <row r="308" spans="1:12" ht="15.75" thickBot="1" x14ac:dyDescent="0.3">
      <c r="A308" s="4" t="s">
        <v>654</v>
      </c>
      <c r="B308" s="5" t="s">
        <v>149</v>
      </c>
      <c r="C308" s="5" t="s">
        <v>20</v>
      </c>
      <c r="D308" s="5" t="s">
        <v>253</v>
      </c>
      <c r="E308" s="6">
        <v>15.5</v>
      </c>
      <c r="F308" s="6">
        <v>6</v>
      </c>
      <c r="G308" s="6">
        <v>93</v>
      </c>
      <c r="H308" s="5" t="s">
        <v>27</v>
      </c>
      <c r="I308" s="5" t="s">
        <v>39</v>
      </c>
      <c r="J308" s="7">
        <v>45301</v>
      </c>
      <c r="K308" s="5"/>
      <c r="L308" s="9" t="s">
        <v>32</v>
      </c>
    </row>
    <row r="309" spans="1:12" ht="15.75" thickBot="1" x14ac:dyDescent="0.3">
      <c r="A309" s="10" t="s">
        <v>655</v>
      </c>
      <c r="B309" s="11" t="s">
        <v>71</v>
      </c>
      <c r="C309" s="11" t="s">
        <v>13</v>
      </c>
      <c r="D309" s="11" t="s">
        <v>203</v>
      </c>
      <c r="E309" s="12">
        <v>21.5</v>
      </c>
      <c r="F309" s="12">
        <v>3</v>
      </c>
      <c r="G309" s="12">
        <v>64.5</v>
      </c>
      <c r="H309" s="11" t="s">
        <v>51</v>
      </c>
      <c r="I309" s="11" t="s">
        <v>39</v>
      </c>
      <c r="J309" s="12" t="s">
        <v>656</v>
      </c>
      <c r="K309" s="11"/>
      <c r="L309" s="14" t="s">
        <v>32</v>
      </c>
    </row>
    <row r="310" spans="1:12" ht="15.75" thickBot="1" x14ac:dyDescent="0.3">
      <c r="A310" s="4" t="s">
        <v>657</v>
      </c>
      <c r="B310" s="5" t="s">
        <v>19</v>
      </c>
      <c r="C310" s="5" t="s">
        <v>42</v>
      </c>
      <c r="D310" s="5" t="s">
        <v>600</v>
      </c>
      <c r="E310" s="6">
        <v>26</v>
      </c>
      <c r="F310" s="6">
        <v>10</v>
      </c>
      <c r="G310" s="6">
        <v>260</v>
      </c>
      <c r="H310" s="5" t="s">
        <v>15</v>
      </c>
      <c r="I310" s="5" t="s">
        <v>39</v>
      </c>
      <c r="J310" s="7">
        <v>45567</v>
      </c>
      <c r="K310" s="5"/>
      <c r="L310" s="9" t="s">
        <v>17</v>
      </c>
    </row>
    <row r="311" spans="1:12" ht="15.75" thickBot="1" x14ac:dyDescent="0.3">
      <c r="A311" s="10" t="s">
        <v>658</v>
      </c>
      <c r="B311" s="11" t="s">
        <v>29</v>
      </c>
      <c r="C311" s="11" t="s">
        <v>42</v>
      </c>
      <c r="D311" s="11" t="s">
        <v>296</v>
      </c>
      <c r="E311" s="12">
        <v>11</v>
      </c>
      <c r="F311" s="12">
        <v>5</v>
      </c>
      <c r="G311" s="12">
        <v>55</v>
      </c>
      <c r="H311" s="11" t="s">
        <v>15</v>
      </c>
      <c r="I311" s="11" t="s">
        <v>16</v>
      </c>
      <c r="J311" s="15">
        <v>44745</v>
      </c>
      <c r="K311" s="11"/>
      <c r="L311" s="14" t="s">
        <v>32</v>
      </c>
    </row>
    <row r="312" spans="1:12" ht="15.75" thickBot="1" x14ac:dyDescent="0.3">
      <c r="A312" s="4" t="s">
        <v>659</v>
      </c>
      <c r="B312" s="5" t="s">
        <v>86</v>
      </c>
      <c r="C312" s="5" t="s">
        <v>30</v>
      </c>
      <c r="D312" s="5" t="s">
        <v>660</v>
      </c>
      <c r="E312" s="6">
        <v>29</v>
      </c>
      <c r="F312" s="6">
        <v>8</v>
      </c>
      <c r="G312" s="6">
        <v>232</v>
      </c>
      <c r="H312" s="5" t="s">
        <v>51</v>
      </c>
      <c r="I312" s="5" t="s">
        <v>16</v>
      </c>
      <c r="J312" s="6" t="s">
        <v>661</v>
      </c>
      <c r="K312" s="8" t="b">
        <v>1</v>
      </c>
      <c r="L312" s="9" t="s">
        <v>17</v>
      </c>
    </row>
    <row r="313" spans="1:12" ht="45.75" thickBot="1" x14ac:dyDescent="0.3">
      <c r="A313" s="10" t="s">
        <v>662</v>
      </c>
      <c r="B313" s="11" t="s">
        <v>140</v>
      </c>
      <c r="C313" s="11" t="s">
        <v>75</v>
      </c>
      <c r="D313" s="11" t="s">
        <v>552</v>
      </c>
      <c r="E313" s="12">
        <v>41</v>
      </c>
      <c r="F313" s="12">
        <v>1</v>
      </c>
      <c r="G313" s="12">
        <v>41</v>
      </c>
      <c r="H313" s="11" t="s">
        <v>51</v>
      </c>
      <c r="I313" s="11" t="s">
        <v>39</v>
      </c>
      <c r="J313" s="12" t="s">
        <v>118</v>
      </c>
      <c r="K313" s="11"/>
      <c r="L313" s="14" t="s">
        <v>32</v>
      </c>
    </row>
    <row r="314" spans="1:12" ht="15.75" thickBot="1" x14ac:dyDescent="0.3">
      <c r="A314" s="4" t="s">
        <v>663</v>
      </c>
      <c r="B314" s="5" t="s">
        <v>44</v>
      </c>
      <c r="C314" s="5" t="s">
        <v>30</v>
      </c>
      <c r="D314" s="5" t="s">
        <v>640</v>
      </c>
      <c r="E314" s="6">
        <v>23</v>
      </c>
      <c r="F314" s="6">
        <v>9</v>
      </c>
      <c r="G314" s="6">
        <v>207</v>
      </c>
      <c r="H314" s="5" t="s">
        <v>15</v>
      </c>
      <c r="I314" s="5" t="s">
        <v>16</v>
      </c>
      <c r="J314" s="6" t="s">
        <v>664</v>
      </c>
      <c r="K314" s="5"/>
      <c r="L314" s="9" t="s">
        <v>17</v>
      </c>
    </row>
    <row r="315" spans="1:12" ht="45.75" thickBot="1" x14ac:dyDescent="0.3">
      <c r="A315" s="10" t="s">
        <v>665</v>
      </c>
      <c r="B315" s="11" t="s">
        <v>117</v>
      </c>
      <c r="C315" s="11" t="s">
        <v>158</v>
      </c>
      <c r="D315" s="11" t="s">
        <v>471</v>
      </c>
      <c r="E315" s="12">
        <v>32</v>
      </c>
      <c r="F315" s="12">
        <v>7</v>
      </c>
      <c r="G315" s="12">
        <v>224</v>
      </c>
      <c r="H315" s="11" t="s">
        <v>27</v>
      </c>
      <c r="I315" s="11" t="s">
        <v>16</v>
      </c>
      <c r="J315" s="15">
        <v>44877</v>
      </c>
      <c r="K315" s="13" t="b">
        <v>1</v>
      </c>
      <c r="L315" s="14" t="s">
        <v>17</v>
      </c>
    </row>
    <row r="316" spans="1:12" ht="15.75" thickBot="1" x14ac:dyDescent="0.3">
      <c r="A316" s="4" t="s">
        <v>666</v>
      </c>
      <c r="B316" s="5" t="s">
        <v>206</v>
      </c>
      <c r="C316" s="5" t="s">
        <v>13</v>
      </c>
      <c r="D316" s="5" t="s">
        <v>667</v>
      </c>
      <c r="E316" s="6">
        <v>33.5</v>
      </c>
      <c r="F316" s="6">
        <v>10</v>
      </c>
      <c r="G316" s="6">
        <v>335</v>
      </c>
      <c r="H316" s="5" t="s">
        <v>51</v>
      </c>
      <c r="I316" s="5" t="s">
        <v>39</v>
      </c>
      <c r="J316" s="6" t="s">
        <v>609</v>
      </c>
      <c r="K316" s="8" t="b">
        <v>0</v>
      </c>
      <c r="L316" s="9" t="s">
        <v>17</v>
      </c>
    </row>
    <row r="317" spans="1:12" ht="15.75" thickBot="1" x14ac:dyDescent="0.3">
      <c r="A317" s="10" t="s">
        <v>668</v>
      </c>
      <c r="B317" s="11" t="s">
        <v>140</v>
      </c>
      <c r="C317" s="11" t="s">
        <v>25</v>
      </c>
      <c r="D317" s="11" t="s">
        <v>398</v>
      </c>
      <c r="E317" s="12">
        <v>6.5</v>
      </c>
      <c r="F317" s="12">
        <v>8</v>
      </c>
      <c r="G317" s="12">
        <v>52</v>
      </c>
      <c r="H317" s="11" t="s">
        <v>27</v>
      </c>
      <c r="I317" s="11" t="s">
        <v>16</v>
      </c>
      <c r="J317" s="12" t="s">
        <v>669</v>
      </c>
      <c r="K317" s="13" t="b">
        <v>1</v>
      </c>
      <c r="L317" s="14" t="s">
        <v>32</v>
      </c>
    </row>
    <row r="318" spans="1:12" ht="15.75" thickBot="1" x14ac:dyDescent="0.3">
      <c r="A318" s="4" t="s">
        <v>670</v>
      </c>
      <c r="B318" s="5" t="s">
        <v>44</v>
      </c>
      <c r="C318" s="5" t="s">
        <v>25</v>
      </c>
      <c r="D318" s="5" t="s">
        <v>327</v>
      </c>
      <c r="E318" s="6">
        <v>32</v>
      </c>
      <c r="F318" s="6">
        <v>2</v>
      </c>
      <c r="G318" s="6">
        <v>64</v>
      </c>
      <c r="H318" s="5" t="s">
        <v>27</v>
      </c>
      <c r="I318" s="5" t="s">
        <v>39</v>
      </c>
      <c r="J318" s="7">
        <v>45269</v>
      </c>
      <c r="K318" s="5"/>
      <c r="L318" s="9" t="s">
        <v>32</v>
      </c>
    </row>
    <row r="319" spans="1:12" ht="15.75" thickBot="1" x14ac:dyDescent="0.3">
      <c r="A319" s="10" t="s">
        <v>671</v>
      </c>
      <c r="B319" s="11" t="s">
        <v>29</v>
      </c>
      <c r="C319" s="11" t="s">
        <v>49</v>
      </c>
      <c r="D319" s="11" t="s">
        <v>50</v>
      </c>
      <c r="E319" s="12">
        <v>36.5</v>
      </c>
      <c r="F319" s="12">
        <v>2</v>
      </c>
      <c r="G319" s="12">
        <v>73</v>
      </c>
      <c r="H319" s="11" t="s">
        <v>27</v>
      </c>
      <c r="I319" s="11" t="s">
        <v>16</v>
      </c>
      <c r="J319" s="12" t="s">
        <v>672</v>
      </c>
      <c r="K319" s="13" t="b">
        <v>0</v>
      </c>
      <c r="L319" s="14" t="s">
        <v>32</v>
      </c>
    </row>
    <row r="320" spans="1:12" ht="15.75" thickBot="1" x14ac:dyDescent="0.3">
      <c r="A320" s="4" t="s">
        <v>673</v>
      </c>
      <c r="B320" s="5" t="s">
        <v>41</v>
      </c>
      <c r="C320" s="5" t="s">
        <v>49</v>
      </c>
      <c r="D320" s="5" t="s">
        <v>275</v>
      </c>
      <c r="E320" s="6">
        <v>35</v>
      </c>
      <c r="F320" s="6">
        <v>1</v>
      </c>
      <c r="G320" s="6">
        <v>35</v>
      </c>
      <c r="H320" s="5" t="s">
        <v>15</v>
      </c>
      <c r="I320" s="5" t="s">
        <v>16</v>
      </c>
      <c r="J320" s="7">
        <v>44721</v>
      </c>
      <c r="K320" s="8" t="b">
        <v>0</v>
      </c>
      <c r="L320" s="9" t="s">
        <v>32</v>
      </c>
    </row>
    <row r="321" spans="1:12" ht="15.75" thickBot="1" x14ac:dyDescent="0.3">
      <c r="A321" s="10" t="s">
        <v>674</v>
      </c>
      <c r="B321" s="11" t="s">
        <v>136</v>
      </c>
      <c r="C321" s="11" t="s">
        <v>13</v>
      </c>
      <c r="D321" s="11" t="s">
        <v>675</v>
      </c>
      <c r="E321" s="12">
        <v>17</v>
      </c>
      <c r="F321" s="12">
        <v>10</v>
      </c>
      <c r="G321" s="12">
        <v>170</v>
      </c>
      <c r="H321" s="11" t="s">
        <v>27</v>
      </c>
      <c r="I321" s="11" t="s">
        <v>39</v>
      </c>
      <c r="J321" s="12" t="s">
        <v>676</v>
      </c>
      <c r="K321" s="13" t="b">
        <v>1</v>
      </c>
      <c r="L321" s="14" t="s">
        <v>35</v>
      </c>
    </row>
    <row r="322" spans="1:12" ht="45.75" thickBot="1" x14ac:dyDescent="0.3">
      <c r="A322" s="4" t="s">
        <v>677</v>
      </c>
      <c r="B322" s="5" t="s">
        <v>74</v>
      </c>
      <c r="C322" s="5" t="s">
        <v>158</v>
      </c>
      <c r="D322" s="5" t="s">
        <v>439</v>
      </c>
      <c r="E322" s="6">
        <v>20</v>
      </c>
      <c r="F322" s="6">
        <v>6</v>
      </c>
      <c r="G322" s="6">
        <v>120</v>
      </c>
      <c r="H322" s="5" t="s">
        <v>27</v>
      </c>
      <c r="I322" s="5" t="s">
        <v>39</v>
      </c>
      <c r="J322" s="6" t="s">
        <v>678</v>
      </c>
      <c r="K322" s="8" t="b">
        <v>1</v>
      </c>
      <c r="L322" s="9" t="s">
        <v>35</v>
      </c>
    </row>
    <row r="323" spans="1:12" ht="45.75" thickBot="1" x14ac:dyDescent="0.3">
      <c r="A323" s="10" t="s">
        <v>679</v>
      </c>
      <c r="B323" s="11" t="s">
        <v>206</v>
      </c>
      <c r="C323" s="11" t="s">
        <v>75</v>
      </c>
      <c r="D323" s="11" t="s">
        <v>76</v>
      </c>
      <c r="E323" s="12">
        <v>23</v>
      </c>
      <c r="F323" s="12">
        <v>9</v>
      </c>
      <c r="G323" s="12">
        <v>207</v>
      </c>
      <c r="H323" s="11" t="s">
        <v>15</v>
      </c>
      <c r="I323" s="11" t="s">
        <v>16</v>
      </c>
      <c r="J323" s="12" t="s">
        <v>411</v>
      </c>
      <c r="K323" s="13" t="b">
        <v>0</v>
      </c>
      <c r="L323" s="14" t="s">
        <v>17</v>
      </c>
    </row>
    <row r="324" spans="1:12" ht="15.75" thickBot="1" x14ac:dyDescent="0.3">
      <c r="A324" s="4" t="s">
        <v>680</v>
      </c>
      <c r="B324" s="5" t="s">
        <v>127</v>
      </c>
      <c r="C324" s="5" t="s">
        <v>25</v>
      </c>
      <c r="D324" s="5" t="s">
        <v>681</v>
      </c>
      <c r="E324" s="6">
        <v>18.5</v>
      </c>
      <c r="F324" s="6">
        <v>10</v>
      </c>
      <c r="G324" s="6">
        <v>185</v>
      </c>
      <c r="H324" s="5" t="s">
        <v>15</v>
      </c>
      <c r="I324" s="5" t="s">
        <v>39</v>
      </c>
      <c r="J324" s="7">
        <v>45049</v>
      </c>
      <c r="K324" s="8" t="b">
        <v>0</v>
      </c>
      <c r="L324" s="9" t="s">
        <v>35</v>
      </c>
    </row>
    <row r="325" spans="1:12" ht="15.75" thickBot="1" x14ac:dyDescent="0.3">
      <c r="A325" s="10" t="s">
        <v>682</v>
      </c>
      <c r="B325" s="11" t="s">
        <v>90</v>
      </c>
      <c r="C325" s="11" t="s">
        <v>49</v>
      </c>
      <c r="D325" s="11" t="s">
        <v>54</v>
      </c>
      <c r="E325" s="12">
        <v>8</v>
      </c>
      <c r="F325" s="12">
        <v>10</v>
      </c>
      <c r="G325" s="12">
        <v>80</v>
      </c>
      <c r="H325" s="11" t="s">
        <v>51</v>
      </c>
      <c r="I325" s="11" t="s">
        <v>16</v>
      </c>
      <c r="J325" s="12" t="s">
        <v>683</v>
      </c>
      <c r="K325" s="13" t="b">
        <v>0</v>
      </c>
      <c r="L325" s="14" t="s">
        <v>32</v>
      </c>
    </row>
    <row r="326" spans="1:12" ht="45.75" thickBot="1" x14ac:dyDescent="0.3">
      <c r="A326" s="4" t="s">
        <v>684</v>
      </c>
      <c r="B326" s="5" t="s">
        <v>127</v>
      </c>
      <c r="C326" s="5" t="s">
        <v>158</v>
      </c>
      <c r="D326" s="5" t="s">
        <v>685</v>
      </c>
      <c r="E326" s="6">
        <v>29</v>
      </c>
      <c r="F326" s="6">
        <v>8</v>
      </c>
      <c r="G326" s="6">
        <v>232</v>
      </c>
      <c r="H326" s="5" t="s">
        <v>15</v>
      </c>
      <c r="I326" s="5" t="s">
        <v>16</v>
      </c>
      <c r="J326" s="6" t="s">
        <v>204</v>
      </c>
      <c r="K326" s="5"/>
      <c r="L326" s="9" t="s">
        <v>17</v>
      </c>
    </row>
    <row r="327" spans="1:12" ht="15.75" thickBot="1" x14ac:dyDescent="0.3">
      <c r="A327" s="10" t="s">
        <v>686</v>
      </c>
      <c r="B327" s="11" t="s">
        <v>44</v>
      </c>
      <c r="C327" s="11" t="s">
        <v>13</v>
      </c>
      <c r="D327" s="11" t="s">
        <v>244</v>
      </c>
      <c r="E327" s="12">
        <v>41</v>
      </c>
      <c r="F327" s="12">
        <v>8</v>
      </c>
      <c r="G327" s="12">
        <v>328</v>
      </c>
      <c r="H327" s="11" t="s">
        <v>51</v>
      </c>
      <c r="I327" s="11" t="s">
        <v>39</v>
      </c>
      <c r="J327" s="12" t="s">
        <v>687</v>
      </c>
      <c r="K327" s="13" t="b">
        <v>1</v>
      </c>
      <c r="L327" s="14" t="s">
        <v>17</v>
      </c>
    </row>
    <row r="328" spans="1:12" ht="45.75" thickBot="1" x14ac:dyDescent="0.3">
      <c r="A328" s="4" t="s">
        <v>688</v>
      </c>
      <c r="B328" s="5" t="s">
        <v>29</v>
      </c>
      <c r="C328" s="5" t="s">
        <v>75</v>
      </c>
      <c r="D328" s="5" t="s">
        <v>76</v>
      </c>
      <c r="E328" s="6">
        <v>23</v>
      </c>
      <c r="F328" s="6">
        <v>4</v>
      </c>
      <c r="G328" s="6">
        <v>92</v>
      </c>
      <c r="H328" s="5" t="s">
        <v>27</v>
      </c>
      <c r="I328" s="5" t="s">
        <v>39</v>
      </c>
      <c r="J328" s="7">
        <v>45085</v>
      </c>
      <c r="K328" s="8" t="b">
        <v>0</v>
      </c>
      <c r="L328" s="9" t="s">
        <v>32</v>
      </c>
    </row>
    <row r="329" spans="1:12" ht="15.75" thickBot="1" x14ac:dyDescent="0.3">
      <c r="A329" s="10" t="s">
        <v>689</v>
      </c>
      <c r="B329" s="11" t="s">
        <v>41</v>
      </c>
      <c r="C329" s="11" t="s">
        <v>13</v>
      </c>
      <c r="D329" s="11" t="s">
        <v>690</v>
      </c>
      <c r="E329" s="12">
        <v>15.5</v>
      </c>
      <c r="F329" s="12">
        <v>6</v>
      </c>
      <c r="G329" s="12">
        <v>93</v>
      </c>
      <c r="H329" s="11" t="s">
        <v>51</v>
      </c>
      <c r="I329" s="11" t="s">
        <v>16</v>
      </c>
      <c r="J329" s="12" t="s">
        <v>691</v>
      </c>
      <c r="K329" s="11"/>
      <c r="L329" s="14" t="s">
        <v>32</v>
      </c>
    </row>
    <row r="330" spans="1:12" ht="15.75" thickBot="1" x14ac:dyDescent="0.3">
      <c r="A330" s="4" t="s">
        <v>692</v>
      </c>
      <c r="B330" s="5" t="s">
        <v>130</v>
      </c>
      <c r="C330" s="5" t="s">
        <v>25</v>
      </c>
      <c r="D330" s="5" t="s">
        <v>134</v>
      </c>
      <c r="E330" s="6">
        <v>20</v>
      </c>
      <c r="F330" s="6">
        <v>6</v>
      </c>
      <c r="G330" s="6">
        <v>120</v>
      </c>
      <c r="H330" s="5" t="s">
        <v>51</v>
      </c>
      <c r="I330" s="5" t="s">
        <v>16</v>
      </c>
      <c r="J330" s="6" t="s">
        <v>693</v>
      </c>
      <c r="K330" s="5"/>
      <c r="L330" s="9" t="s">
        <v>35</v>
      </c>
    </row>
    <row r="331" spans="1:12" ht="15.75" thickBot="1" x14ac:dyDescent="0.3">
      <c r="A331" s="10" t="s">
        <v>694</v>
      </c>
      <c r="B331" s="11" t="s">
        <v>48</v>
      </c>
      <c r="C331" s="11" t="s">
        <v>13</v>
      </c>
      <c r="D331" s="11" t="s">
        <v>161</v>
      </c>
      <c r="E331" s="12">
        <v>20</v>
      </c>
      <c r="F331" s="12">
        <v>3</v>
      </c>
      <c r="G331" s="12">
        <v>60</v>
      </c>
      <c r="H331" s="11" t="s">
        <v>15</v>
      </c>
      <c r="I331" s="11" t="s">
        <v>16</v>
      </c>
      <c r="J331" s="12" t="s">
        <v>695</v>
      </c>
      <c r="K331" s="13" t="b">
        <v>0</v>
      </c>
      <c r="L331" s="14" t="s">
        <v>32</v>
      </c>
    </row>
    <row r="332" spans="1:12" ht="15.75" thickBot="1" x14ac:dyDescent="0.3">
      <c r="A332" s="4" t="s">
        <v>696</v>
      </c>
      <c r="B332" s="5" t="s">
        <v>136</v>
      </c>
      <c r="C332" s="5" t="s">
        <v>30</v>
      </c>
      <c r="D332" s="5" t="s">
        <v>209</v>
      </c>
      <c r="E332" s="6">
        <v>30.5</v>
      </c>
      <c r="F332" s="6">
        <v>8</v>
      </c>
      <c r="G332" s="6">
        <v>244</v>
      </c>
      <c r="H332" s="5" t="s">
        <v>27</v>
      </c>
      <c r="I332" s="5" t="s">
        <v>39</v>
      </c>
      <c r="J332" s="7">
        <v>45019</v>
      </c>
      <c r="K332" s="8" t="b">
        <v>1</v>
      </c>
      <c r="L332" s="9" t="s">
        <v>17</v>
      </c>
    </row>
    <row r="333" spans="1:12" ht="15.75" thickBot="1" x14ac:dyDescent="0.3">
      <c r="A333" s="10" t="s">
        <v>697</v>
      </c>
      <c r="B333" s="11" t="s">
        <v>19</v>
      </c>
      <c r="C333" s="11" t="s">
        <v>42</v>
      </c>
      <c r="D333" s="11" t="s">
        <v>296</v>
      </c>
      <c r="E333" s="12">
        <v>11</v>
      </c>
      <c r="F333" s="12">
        <v>3</v>
      </c>
      <c r="G333" s="12">
        <v>33</v>
      </c>
      <c r="H333" s="11" t="s">
        <v>27</v>
      </c>
      <c r="I333" s="11" t="s">
        <v>39</v>
      </c>
      <c r="J333" s="15">
        <v>45296</v>
      </c>
      <c r="K333" s="13" t="b">
        <v>0</v>
      </c>
      <c r="L333" s="14" t="s">
        <v>32</v>
      </c>
    </row>
    <row r="334" spans="1:12" ht="15.75" thickBot="1" x14ac:dyDescent="0.3">
      <c r="A334" s="4" t="s">
        <v>698</v>
      </c>
      <c r="B334" s="5" t="s">
        <v>41</v>
      </c>
      <c r="C334" s="5" t="s">
        <v>30</v>
      </c>
      <c r="D334" s="5"/>
      <c r="E334" s="6">
        <v>17</v>
      </c>
      <c r="F334" s="5"/>
      <c r="G334" s="5"/>
      <c r="H334" s="5" t="s">
        <v>51</v>
      </c>
      <c r="I334" s="5" t="s">
        <v>39</v>
      </c>
      <c r="J334" s="7">
        <v>45485</v>
      </c>
      <c r="K334" s="8" t="b">
        <v>0</v>
      </c>
      <c r="L334" s="9" t="s">
        <v>32</v>
      </c>
    </row>
    <row r="335" spans="1:12" ht="15.75" thickBot="1" x14ac:dyDescent="0.3">
      <c r="A335" s="10" t="s">
        <v>699</v>
      </c>
      <c r="B335" s="11" t="s">
        <v>60</v>
      </c>
      <c r="C335" s="11" t="s">
        <v>42</v>
      </c>
      <c r="D335" s="11" t="s">
        <v>251</v>
      </c>
      <c r="E335" s="12">
        <v>39.5</v>
      </c>
      <c r="F335" s="12">
        <v>1</v>
      </c>
      <c r="G335" s="12">
        <v>39.5</v>
      </c>
      <c r="H335" s="11" t="s">
        <v>15</v>
      </c>
      <c r="I335" s="11" t="s">
        <v>39</v>
      </c>
      <c r="J335" s="12" t="s">
        <v>700</v>
      </c>
      <c r="K335" s="13" t="b">
        <v>0</v>
      </c>
      <c r="L335" s="14" t="s">
        <v>32</v>
      </c>
    </row>
    <row r="336" spans="1:12" ht="15.75" thickBot="1" x14ac:dyDescent="0.3">
      <c r="A336" s="4" t="s">
        <v>701</v>
      </c>
      <c r="B336" s="5" t="s">
        <v>60</v>
      </c>
      <c r="C336" s="5" t="s">
        <v>20</v>
      </c>
      <c r="D336" s="5" t="s">
        <v>186</v>
      </c>
      <c r="E336" s="6">
        <v>12.5</v>
      </c>
      <c r="F336" s="6">
        <v>3</v>
      </c>
      <c r="G336" s="6">
        <v>37.5</v>
      </c>
      <c r="H336" s="5" t="s">
        <v>27</v>
      </c>
      <c r="I336" s="5" t="s">
        <v>39</v>
      </c>
      <c r="J336" s="6" t="s">
        <v>62</v>
      </c>
      <c r="K336" s="8" t="b">
        <v>0</v>
      </c>
      <c r="L336" s="9" t="s">
        <v>32</v>
      </c>
    </row>
    <row r="337" spans="1:12" ht="15.75" thickBot="1" x14ac:dyDescent="0.3">
      <c r="A337" s="10" t="s">
        <v>702</v>
      </c>
      <c r="B337" s="11" t="s">
        <v>24</v>
      </c>
      <c r="C337" s="11" t="s">
        <v>42</v>
      </c>
      <c r="D337" s="11" t="s">
        <v>251</v>
      </c>
      <c r="E337" s="12">
        <v>39.5</v>
      </c>
      <c r="F337" s="12">
        <v>6</v>
      </c>
      <c r="G337" s="12">
        <v>237</v>
      </c>
      <c r="H337" s="11" t="s">
        <v>27</v>
      </c>
      <c r="I337" s="11" t="s">
        <v>39</v>
      </c>
      <c r="J337" s="12" t="s">
        <v>703</v>
      </c>
      <c r="K337" s="13" t="b">
        <v>1</v>
      </c>
      <c r="L337" s="14" t="s">
        <v>17</v>
      </c>
    </row>
    <row r="338" spans="1:12" ht="45.75" thickBot="1" x14ac:dyDescent="0.3">
      <c r="A338" s="4" t="s">
        <v>704</v>
      </c>
      <c r="B338" s="5" t="s">
        <v>86</v>
      </c>
      <c r="C338" s="5" t="s">
        <v>75</v>
      </c>
      <c r="D338" s="5" t="s">
        <v>468</v>
      </c>
      <c r="E338" s="6">
        <v>5</v>
      </c>
      <c r="F338" s="6">
        <v>3</v>
      </c>
      <c r="G338" s="6">
        <v>15</v>
      </c>
      <c r="H338" s="5" t="s">
        <v>51</v>
      </c>
      <c r="I338" s="5" t="s">
        <v>39</v>
      </c>
      <c r="J338" s="7">
        <v>44992</v>
      </c>
      <c r="K338" s="8" t="b">
        <v>0</v>
      </c>
      <c r="L338" s="9" t="s">
        <v>32</v>
      </c>
    </row>
    <row r="339" spans="1:12" ht="15.75" thickBot="1" x14ac:dyDescent="0.3">
      <c r="A339" s="10" t="s">
        <v>705</v>
      </c>
      <c r="B339" s="11" t="s">
        <v>130</v>
      </c>
      <c r="C339" s="11" t="s">
        <v>30</v>
      </c>
      <c r="D339" s="11" t="s">
        <v>231</v>
      </c>
      <c r="E339" s="12">
        <v>33.5</v>
      </c>
      <c r="F339" s="12">
        <v>2</v>
      </c>
      <c r="G339" s="12">
        <v>67</v>
      </c>
      <c r="H339" s="11" t="s">
        <v>51</v>
      </c>
      <c r="I339" s="11" t="s">
        <v>39</v>
      </c>
      <c r="J339" s="12" t="s">
        <v>706</v>
      </c>
      <c r="K339" s="13" t="b">
        <v>0</v>
      </c>
      <c r="L339" s="14" t="s">
        <v>32</v>
      </c>
    </row>
    <row r="340" spans="1:12" ht="15.75" thickBot="1" x14ac:dyDescent="0.3">
      <c r="A340" s="4" t="s">
        <v>707</v>
      </c>
      <c r="B340" s="5" t="s">
        <v>120</v>
      </c>
      <c r="C340" s="5" t="s">
        <v>30</v>
      </c>
      <c r="D340" s="5" t="s">
        <v>476</v>
      </c>
      <c r="E340" s="6">
        <v>41</v>
      </c>
      <c r="F340" s="6">
        <v>10</v>
      </c>
      <c r="G340" s="6">
        <v>410</v>
      </c>
      <c r="H340" s="5" t="s">
        <v>15</v>
      </c>
      <c r="I340" s="5" t="s">
        <v>16</v>
      </c>
      <c r="J340" s="6" t="s">
        <v>490</v>
      </c>
      <c r="K340" s="5"/>
      <c r="L340" s="9" t="s">
        <v>17</v>
      </c>
    </row>
    <row r="341" spans="1:12" ht="15.75" thickBot="1" x14ac:dyDescent="0.3">
      <c r="A341" s="10" t="s">
        <v>708</v>
      </c>
      <c r="B341" s="11" t="s">
        <v>19</v>
      </c>
      <c r="C341" s="11" t="s">
        <v>30</v>
      </c>
      <c r="D341" s="11"/>
      <c r="E341" s="12">
        <v>11</v>
      </c>
      <c r="F341" s="11"/>
      <c r="G341" s="11"/>
      <c r="H341" s="11" t="s">
        <v>51</v>
      </c>
      <c r="I341" s="11" t="s">
        <v>16</v>
      </c>
      <c r="J341" s="15">
        <v>45026</v>
      </c>
      <c r="K341" s="11"/>
      <c r="L341" s="14" t="s">
        <v>32</v>
      </c>
    </row>
    <row r="342" spans="1:12" ht="45.75" thickBot="1" x14ac:dyDescent="0.3">
      <c r="A342" s="4" t="s">
        <v>709</v>
      </c>
      <c r="B342" s="5" t="s">
        <v>19</v>
      </c>
      <c r="C342" s="5" t="s">
        <v>75</v>
      </c>
      <c r="D342" s="5" t="s">
        <v>552</v>
      </c>
      <c r="E342" s="6">
        <v>41</v>
      </c>
      <c r="F342" s="6">
        <v>8</v>
      </c>
      <c r="G342" s="6">
        <v>328</v>
      </c>
      <c r="H342" s="5" t="s">
        <v>51</v>
      </c>
      <c r="I342" s="5" t="s">
        <v>16</v>
      </c>
      <c r="J342" s="6" t="s">
        <v>710</v>
      </c>
      <c r="K342" s="5"/>
      <c r="L342" s="9" t="s">
        <v>17</v>
      </c>
    </row>
    <row r="343" spans="1:12" ht="15.75" thickBot="1" x14ac:dyDescent="0.3">
      <c r="A343" s="10" t="s">
        <v>711</v>
      </c>
      <c r="B343" s="11" t="s">
        <v>71</v>
      </c>
      <c r="C343" s="11" t="s">
        <v>25</v>
      </c>
      <c r="D343" s="11" t="s">
        <v>345</v>
      </c>
      <c r="E343" s="12">
        <v>12.5</v>
      </c>
      <c r="F343" s="12">
        <v>8</v>
      </c>
      <c r="G343" s="12">
        <v>100</v>
      </c>
      <c r="H343" s="11" t="s">
        <v>27</v>
      </c>
      <c r="I343" s="11" t="s">
        <v>39</v>
      </c>
      <c r="J343" s="12" t="s">
        <v>712</v>
      </c>
      <c r="K343" s="11"/>
      <c r="L343" s="14" t="s">
        <v>32</v>
      </c>
    </row>
    <row r="344" spans="1:12" ht="15.75" thickBot="1" x14ac:dyDescent="0.3">
      <c r="A344" s="4" t="s">
        <v>713</v>
      </c>
      <c r="B344" s="5" t="s">
        <v>99</v>
      </c>
      <c r="C344" s="5" t="s">
        <v>25</v>
      </c>
      <c r="D344" s="5"/>
      <c r="E344" s="6">
        <v>24.5</v>
      </c>
      <c r="F344" s="5"/>
      <c r="G344" s="5"/>
      <c r="H344" s="5" t="s">
        <v>51</v>
      </c>
      <c r="I344" s="5" t="s">
        <v>39</v>
      </c>
      <c r="J344" s="7">
        <v>44784</v>
      </c>
      <c r="K344" s="8" t="b">
        <v>1</v>
      </c>
      <c r="L344" s="9" t="s">
        <v>32</v>
      </c>
    </row>
    <row r="345" spans="1:12" ht="15.75" thickBot="1" x14ac:dyDescent="0.3">
      <c r="A345" s="10" t="s">
        <v>714</v>
      </c>
      <c r="B345" s="11" t="s">
        <v>78</v>
      </c>
      <c r="C345" s="11" t="s">
        <v>49</v>
      </c>
      <c r="D345" s="11" t="s">
        <v>395</v>
      </c>
      <c r="E345" s="12">
        <v>23</v>
      </c>
      <c r="F345" s="12">
        <v>3</v>
      </c>
      <c r="G345" s="12">
        <v>69</v>
      </c>
      <c r="H345" s="11" t="s">
        <v>27</v>
      </c>
      <c r="I345" s="11" t="s">
        <v>16</v>
      </c>
      <c r="J345" s="12" t="s">
        <v>715</v>
      </c>
      <c r="K345" s="13" t="b">
        <v>1</v>
      </c>
      <c r="L345" s="14" t="s">
        <v>32</v>
      </c>
    </row>
    <row r="346" spans="1:12" ht="45.75" thickBot="1" x14ac:dyDescent="0.3">
      <c r="A346" s="4" t="s">
        <v>716</v>
      </c>
      <c r="B346" s="5" t="s">
        <v>117</v>
      </c>
      <c r="C346" s="5" t="s">
        <v>158</v>
      </c>
      <c r="D346" s="5"/>
      <c r="E346" s="6">
        <v>15.5</v>
      </c>
      <c r="F346" s="5"/>
      <c r="G346" s="5"/>
      <c r="H346" s="5" t="s">
        <v>27</v>
      </c>
      <c r="I346" s="5" t="s">
        <v>39</v>
      </c>
      <c r="J346" s="6" t="s">
        <v>717</v>
      </c>
      <c r="K346" s="8" t="b">
        <v>1</v>
      </c>
      <c r="L346" s="9" t="s">
        <v>32</v>
      </c>
    </row>
    <row r="347" spans="1:12" ht="45.75" thickBot="1" x14ac:dyDescent="0.3">
      <c r="A347" s="10" t="s">
        <v>718</v>
      </c>
      <c r="B347" s="11" t="s">
        <v>74</v>
      </c>
      <c r="C347" s="11" t="s">
        <v>75</v>
      </c>
      <c r="D347" s="11" t="s">
        <v>479</v>
      </c>
      <c r="E347" s="12">
        <v>21.5</v>
      </c>
      <c r="F347" s="12">
        <v>2</v>
      </c>
      <c r="G347" s="12">
        <v>43</v>
      </c>
      <c r="H347" s="11" t="s">
        <v>51</v>
      </c>
      <c r="I347" s="11" t="s">
        <v>16</v>
      </c>
      <c r="J347" s="12" t="s">
        <v>719</v>
      </c>
      <c r="K347" s="11"/>
      <c r="L347" s="14" t="s">
        <v>32</v>
      </c>
    </row>
    <row r="348" spans="1:12" ht="15.75" thickBot="1" x14ac:dyDescent="0.3">
      <c r="A348" s="4" t="s">
        <v>720</v>
      </c>
      <c r="B348" s="5" t="s">
        <v>74</v>
      </c>
      <c r="C348" s="5" t="s">
        <v>20</v>
      </c>
      <c r="D348" s="5" t="s">
        <v>721</v>
      </c>
      <c r="E348" s="6">
        <v>23</v>
      </c>
      <c r="F348" s="6">
        <v>1</v>
      </c>
      <c r="G348" s="6">
        <v>23</v>
      </c>
      <c r="H348" s="5" t="s">
        <v>27</v>
      </c>
      <c r="I348" s="5" t="s">
        <v>39</v>
      </c>
      <c r="J348" s="6" t="s">
        <v>722</v>
      </c>
      <c r="K348" s="8" t="b">
        <v>0</v>
      </c>
      <c r="L348" s="9" t="s">
        <v>32</v>
      </c>
    </row>
    <row r="349" spans="1:12" ht="15.75" thickBot="1" x14ac:dyDescent="0.3">
      <c r="A349" s="10" t="s">
        <v>723</v>
      </c>
      <c r="B349" s="11" t="s">
        <v>48</v>
      </c>
      <c r="C349" s="11" t="s">
        <v>13</v>
      </c>
      <c r="D349" s="11" t="s">
        <v>667</v>
      </c>
      <c r="E349" s="12">
        <v>33.5</v>
      </c>
      <c r="F349" s="12">
        <v>8</v>
      </c>
      <c r="G349" s="12">
        <v>268</v>
      </c>
      <c r="H349" s="11" t="s">
        <v>51</v>
      </c>
      <c r="I349" s="11" t="s">
        <v>16</v>
      </c>
      <c r="J349" s="15">
        <v>44603</v>
      </c>
      <c r="K349" s="13" t="b">
        <v>1</v>
      </c>
      <c r="L349" s="14" t="s">
        <v>17</v>
      </c>
    </row>
    <row r="350" spans="1:12" ht="15.75" thickBot="1" x14ac:dyDescent="0.3">
      <c r="A350" s="4" t="s">
        <v>724</v>
      </c>
      <c r="B350" s="5" t="s">
        <v>41</v>
      </c>
      <c r="C350" s="5" t="s">
        <v>49</v>
      </c>
      <c r="D350" s="5" t="s">
        <v>54</v>
      </c>
      <c r="E350" s="6">
        <v>8</v>
      </c>
      <c r="F350" s="6">
        <v>2</v>
      </c>
      <c r="G350" s="6">
        <v>16</v>
      </c>
      <c r="H350" s="5" t="s">
        <v>51</v>
      </c>
      <c r="I350" s="5" t="s">
        <v>39</v>
      </c>
      <c r="J350" s="6" t="s">
        <v>725</v>
      </c>
      <c r="K350" s="8" t="b">
        <v>1</v>
      </c>
      <c r="L350" s="9" t="s">
        <v>32</v>
      </c>
    </row>
    <row r="351" spans="1:12" ht="45.75" thickBot="1" x14ac:dyDescent="0.3">
      <c r="A351" s="10" t="s">
        <v>726</v>
      </c>
      <c r="B351" s="11" t="s">
        <v>41</v>
      </c>
      <c r="C351" s="11" t="s">
        <v>158</v>
      </c>
      <c r="D351" s="11" t="s">
        <v>195</v>
      </c>
      <c r="E351" s="12">
        <v>36.5</v>
      </c>
      <c r="F351" s="12">
        <v>9</v>
      </c>
      <c r="G351" s="12">
        <v>328.5</v>
      </c>
      <c r="H351" s="11" t="s">
        <v>27</v>
      </c>
      <c r="I351" s="11" t="s">
        <v>16</v>
      </c>
      <c r="J351" s="15">
        <v>45268</v>
      </c>
      <c r="K351" s="13" t="b">
        <v>0</v>
      </c>
      <c r="L351" s="14" t="s">
        <v>17</v>
      </c>
    </row>
    <row r="352" spans="1:12" ht="45.75" thickBot="1" x14ac:dyDescent="0.3">
      <c r="A352" s="4" t="s">
        <v>727</v>
      </c>
      <c r="B352" s="5" t="s">
        <v>44</v>
      </c>
      <c r="C352" s="5" t="s">
        <v>158</v>
      </c>
      <c r="D352" s="5" t="s">
        <v>290</v>
      </c>
      <c r="E352" s="6">
        <v>18.5</v>
      </c>
      <c r="F352" s="6">
        <v>7</v>
      </c>
      <c r="G352" s="6">
        <v>129.5</v>
      </c>
      <c r="H352" s="5" t="s">
        <v>15</v>
      </c>
      <c r="I352" s="5" t="s">
        <v>39</v>
      </c>
      <c r="J352" s="6" t="s">
        <v>728</v>
      </c>
      <c r="K352" s="8" t="b">
        <v>1</v>
      </c>
      <c r="L352" s="9" t="s">
        <v>35</v>
      </c>
    </row>
    <row r="353" spans="1:12" ht="15.75" thickBot="1" x14ac:dyDescent="0.3">
      <c r="A353" s="10" t="s">
        <v>729</v>
      </c>
      <c r="B353" s="11" t="s">
        <v>78</v>
      </c>
      <c r="C353" s="11" t="s">
        <v>30</v>
      </c>
      <c r="D353" s="11" t="s">
        <v>107</v>
      </c>
      <c r="E353" s="12">
        <v>24.5</v>
      </c>
      <c r="F353" s="12">
        <v>6</v>
      </c>
      <c r="G353" s="12">
        <v>147</v>
      </c>
      <c r="H353" s="11" t="s">
        <v>51</v>
      </c>
      <c r="I353" s="11" t="s">
        <v>39</v>
      </c>
      <c r="J353" s="15">
        <v>45235</v>
      </c>
      <c r="K353" s="13" t="b">
        <v>0</v>
      </c>
      <c r="L353" s="14" t="s">
        <v>35</v>
      </c>
    </row>
    <row r="354" spans="1:12" ht="15.75" thickBot="1" x14ac:dyDescent="0.3">
      <c r="A354" s="4" t="s">
        <v>730</v>
      </c>
      <c r="B354" s="5" t="s">
        <v>44</v>
      </c>
      <c r="C354" s="5" t="s">
        <v>42</v>
      </c>
      <c r="D354" s="5" t="s">
        <v>251</v>
      </c>
      <c r="E354" s="6">
        <v>39.5</v>
      </c>
      <c r="F354" s="6">
        <v>3</v>
      </c>
      <c r="G354" s="6">
        <v>118.5</v>
      </c>
      <c r="H354" s="5" t="s">
        <v>27</v>
      </c>
      <c r="I354" s="5" t="s">
        <v>16</v>
      </c>
      <c r="J354" s="7">
        <v>45233</v>
      </c>
      <c r="K354" s="8" t="b">
        <v>1</v>
      </c>
      <c r="L354" s="9" t="s">
        <v>35</v>
      </c>
    </row>
    <row r="355" spans="1:12" ht="15.75" thickBot="1" x14ac:dyDescent="0.3">
      <c r="A355" s="10" t="s">
        <v>731</v>
      </c>
      <c r="B355" s="11" t="s">
        <v>149</v>
      </c>
      <c r="C355" s="11" t="s">
        <v>42</v>
      </c>
      <c r="D355" s="11"/>
      <c r="E355" s="11"/>
      <c r="F355" s="12">
        <v>7</v>
      </c>
      <c r="G355" s="12">
        <v>182</v>
      </c>
      <c r="H355" s="11" t="s">
        <v>15</v>
      </c>
      <c r="I355" s="11" t="s">
        <v>39</v>
      </c>
      <c r="J355" s="15">
        <v>44744</v>
      </c>
      <c r="K355" s="11"/>
      <c r="L355" s="14" t="s">
        <v>35</v>
      </c>
    </row>
    <row r="356" spans="1:12" ht="15.75" thickBot="1" x14ac:dyDescent="0.3">
      <c r="A356" s="4" t="s">
        <v>732</v>
      </c>
      <c r="B356" s="5" t="s">
        <v>106</v>
      </c>
      <c r="C356" s="5" t="s">
        <v>20</v>
      </c>
      <c r="D356" s="5" t="s">
        <v>350</v>
      </c>
      <c r="E356" s="6">
        <v>39.5</v>
      </c>
      <c r="F356" s="6">
        <v>3</v>
      </c>
      <c r="G356" s="6">
        <v>118.5</v>
      </c>
      <c r="H356" s="5" t="s">
        <v>27</v>
      </c>
      <c r="I356" s="5" t="s">
        <v>16</v>
      </c>
      <c r="J356" s="6" t="s">
        <v>565</v>
      </c>
      <c r="K356" s="8" t="b">
        <v>1</v>
      </c>
      <c r="L356" s="9" t="s">
        <v>35</v>
      </c>
    </row>
    <row r="357" spans="1:12" ht="45.75" thickBot="1" x14ac:dyDescent="0.3">
      <c r="A357" s="10" t="s">
        <v>733</v>
      </c>
      <c r="B357" s="11" t="s">
        <v>41</v>
      </c>
      <c r="C357" s="11" t="s">
        <v>158</v>
      </c>
      <c r="D357" s="11" t="s">
        <v>422</v>
      </c>
      <c r="E357" s="12">
        <v>30.5</v>
      </c>
      <c r="F357" s="12">
        <v>2</v>
      </c>
      <c r="G357" s="12">
        <v>61</v>
      </c>
      <c r="H357" s="11" t="s">
        <v>15</v>
      </c>
      <c r="I357" s="11" t="s">
        <v>39</v>
      </c>
      <c r="J357" s="12" t="s">
        <v>734</v>
      </c>
      <c r="K357" s="13" t="b">
        <v>1</v>
      </c>
      <c r="L357" s="14" t="s">
        <v>32</v>
      </c>
    </row>
    <row r="358" spans="1:12" ht="15.75" thickBot="1" x14ac:dyDescent="0.3">
      <c r="A358" s="4" t="s">
        <v>735</v>
      </c>
      <c r="B358" s="5" t="s">
        <v>127</v>
      </c>
      <c r="C358" s="5" t="s">
        <v>49</v>
      </c>
      <c r="D358" s="5" t="s">
        <v>736</v>
      </c>
      <c r="E358" s="6">
        <v>11</v>
      </c>
      <c r="F358" s="6">
        <v>4</v>
      </c>
      <c r="G358" s="6">
        <v>44</v>
      </c>
      <c r="H358" s="5" t="s">
        <v>51</v>
      </c>
      <c r="I358" s="5" t="s">
        <v>39</v>
      </c>
      <c r="J358" s="6" t="s">
        <v>737</v>
      </c>
      <c r="K358" s="8" t="b">
        <v>0</v>
      </c>
      <c r="L358" s="9" t="s">
        <v>32</v>
      </c>
    </row>
    <row r="359" spans="1:12" ht="15.75" thickBot="1" x14ac:dyDescent="0.3">
      <c r="A359" s="10" t="s">
        <v>738</v>
      </c>
      <c r="B359" s="11" t="s">
        <v>106</v>
      </c>
      <c r="C359" s="11" t="s">
        <v>20</v>
      </c>
      <c r="D359" s="11" t="s">
        <v>739</v>
      </c>
      <c r="E359" s="12">
        <v>36.5</v>
      </c>
      <c r="F359" s="12">
        <v>2</v>
      </c>
      <c r="G359" s="12">
        <v>73</v>
      </c>
      <c r="H359" s="11" t="s">
        <v>15</v>
      </c>
      <c r="I359" s="11" t="s">
        <v>39</v>
      </c>
      <c r="J359" s="15">
        <v>44752</v>
      </c>
      <c r="K359" s="13" t="b">
        <v>1</v>
      </c>
      <c r="L359" s="14" t="s">
        <v>32</v>
      </c>
    </row>
    <row r="360" spans="1:12" ht="45.75" thickBot="1" x14ac:dyDescent="0.3">
      <c r="A360" s="4" t="s">
        <v>740</v>
      </c>
      <c r="B360" s="5" t="s">
        <v>149</v>
      </c>
      <c r="C360" s="5" t="s">
        <v>158</v>
      </c>
      <c r="D360" s="5" t="s">
        <v>168</v>
      </c>
      <c r="E360" s="6">
        <v>11</v>
      </c>
      <c r="F360" s="6">
        <v>1</v>
      </c>
      <c r="G360" s="6">
        <v>11</v>
      </c>
      <c r="H360" s="5" t="s">
        <v>51</v>
      </c>
      <c r="I360" s="5" t="s">
        <v>16</v>
      </c>
      <c r="J360" s="6" t="s">
        <v>741</v>
      </c>
      <c r="K360" s="5"/>
      <c r="L360" s="9" t="s">
        <v>32</v>
      </c>
    </row>
    <row r="361" spans="1:12" ht="15.75" thickBot="1" x14ac:dyDescent="0.3">
      <c r="A361" s="10" t="s">
        <v>742</v>
      </c>
      <c r="B361" s="11" t="s">
        <v>41</v>
      </c>
      <c r="C361" s="11" t="s">
        <v>42</v>
      </c>
      <c r="D361" s="11" t="s">
        <v>743</v>
      </c>
      <c r="E361" s="12">
        <v>9.5</v>
      </c>
      <c r="F361" s="12">
        <v>8</v>
      </c>
      <c r="G361" s="12">
        <v>76</v>
      </c>
      <c r="H361" s="11" t="s">
        <v>51</v>
      </c>
      <c r="I361" s="11" t="s">
        <v>39</v>
      </c>
      <c r="J361" s="15">
        <v>45139</v>
      </c>
      <c r="K361" s="13" t="b">
        <v>1</v>
      </c>
      <c r="L361" s="14" t="s">
        <v>32</v>
      </c>
    </row>
    <row r="362" spans="1:12" ht="15.75" thickBot="1" x14ac:dyDescent="0.3">
      <c r="A362" s="4" t="s">
        <v>744</v>
      </c>
      <c r="B362" s="5" t="s">
        <v>106</v>
      </c>
      <c r="C362" s="5" t="s">
        <v>13</v>
      </c>
      <c r="D362" s="5" t="s">
        <v>603</v>
      </c>
      <c r="E362" s="6">
        <v>26</v>
      </c>
      <c r="F362" s="6">
        <v>9</v>
      </c>
      <c r="G362" s="6">
        <v>234</v>
      </c>
      <c r="H362" s="5" t="s">
        <v>27</v>
      </c>
      <c r="I362" s="5" t="s">
        <v>16</v>
      </c>
      <c r="J362" s="6" t="s">
        <v>745</v>
      </c>
      <c r="K362" s="5"/>
      <c r="L362" s="9" t="s">
        <v>17</v>
      </c>
    </row>
    <row r="363" spans="1:12" ht="45.75" thickBot="1" x14ac:dyDescent="0.3">
      <c r="A363" s="10" t="s">
        <v>746</v>
      </c>
      <c r="B363" s="11" t="s">
        <v>140</v>
      </c>
      <c r="C363" s="11" t="s">
        <v>75</v>
      </c>
      <c r="D363" s="11"/>
      <c r="E363" s="12">
        <v>26</v>
      </c>
      <c r="F363" s="11"/>
      <c r="G363" s="11"/>
      <c r="H363" s="11" t="s">
        <v>15</v>
      </c>
      <c r="I363" s="11" t="s">
        <v>39</v>
      </c>
      <c r="J363" s="15">
        <v>45384</v>
      </c>
      <c r="K363" s="13" t="b">
        <v>1</v>
      </c>
      <c r="L363" s="14" t="s">
        <v>32</v>
      </c>
    </row>
    <row r="364" spans="1:12" ht="15.75" thickBot="1" x14ac:dyDescent="0.3">
      <c r="A364" s="4" t="s">
        <v>747</v>
      </c>
      <c r="B364" s="5" t="s">
        <v>48</v>
      </c>
      <c r="C364" s="5" t="s">
        <v>30</v>
      </c>
      <c r="D364" s="5" t="s">
        <v>155</v>
      </c>
      <c r="E364" s="6">
        <v>21.5</v>
      </c>
      <c r="F364" s="6">
        <v>6</v>
      </c>
      <c r="G364" s="6">
        <v>129</v>
      </c>
      <c r="H364" s="5" t="s">
        <v>27</v>
      </c>
      <c r="I364" s="5" t="s">
        <v>39</v>
      </c>
      <c r="J364" s="6" t="s">
        <v>84</v>
      </c>
      <c r="K364" s="8" t="b">
        <v>1</v>
      </c>
      <c r="L364" s="9" t="s">
        <v>35</v>
      </c>
    </row>
    <row r="365" spans="1:12" ht="15.75" thickBot="1" x14ac:dyDescent="0.3">
      <c r="A365" s="10" t="s">
        <v>748</v>
      </c>
      <c r="B365" s="11" t="s">
        <v>106</v>
      </c>
      <c r="C365" s="11" t="s">
        <v>13</v>
      </c>
      <c r="D365" s="11" t="s">
        <v>486</v>
      </c>
      <c r="E365" s="12">
        <v>23</v>
      </c>
      <c r="F365" s="12">
        <v>4</v>
      </c>
      <c r="G365" s="12">
        <v>92</v>
      </c>
      <c r="H365" s="11" t="s">
        <v>27</v>
      </c>
      <c r="I365" s="11" t="s">
        <v>16</v>
      </c>
      <c r="J365" s="15">
        <v>44776</v>
      </c>
      <c r="K365" s="13" t="b">
        <v>0</v>
      </c>
      <c r="L365" s="14" t="s">
        <v>32</v>
      </c>
    </row>
    <row r="366" spans="1:12" ht="15.75" thickBot="1" x14ac:dyDescent="0.3">
      <c r="A366" s="4" t="s">
        <v>749</v>
      </c>
      <c r="B366" s="5" t="s">
        <v>24</v>
      </c>
      <c r="C366" s="5" t="s">
        <v>25</v>
      </c>
      <c r="D366" s="5" t="s">
        <v>635</v>
      </c>
      <c r="E366" s="6">
        <v>8</v>
      </c>
      <c r="F366" s="6">
        <v>9</v>
      </c>
      <c r="G366" s="6">
        <v>72</v>
      </c>
      <c r="H366" s="5" t="s">
        <v>51</v>
      </c>
      <c r="I366" s="5" t="s">
        <v>16</v>
      </c>
      <c r="J366" s="6" t="s">
        <v>750</v>
      </c>
      <c r="K366" s="5"/>
      <c r="L366" s="9" t="s">
        <v>32</v>
      </c>
    </row>
    <row r="367" spans="1:12" ht="15.75" thickBot="1" x14ac:dyDescent="0.3">
      <c r="A367" s="10" t="s">
        <v>751</v>
      </c>
      <c r="B367" s="11" t="s">
        <v>127</v>
      </c>
      <c r="C367" s="11" t="s">
        <v>30</v>
      </c>
      <c r="D367" s="11" t="s">
        <v>231</v>
      </c>
      <c r="E367" s="12">
        <v>33.5</v>
      </c>
      <c r="F367" s="12">
        <v>9</v>
      </c>
      <c r="G367" s="12">
        <v>301.5</v>
      </c>
      <c r="H367" s="11" t="s">
        <v>15</v>
      </c>
      <c r="I367" s="11" t="s">
        <v>39</v>
      </c>
      <c r="J367" s="12" t="s">
        <v>752</v>
      </c>
      <c r="K367" s="13" t="b">
        <v>0</v>
      </c>
      <c r="L367" s="14" t="s">
        <v>17</v>
      </c>
    </row>
    <row r="368" spans="1:12" ht="15.75" thickBot="1" x14ac:dyDescent="0.3">
      <c r="A368" s="4" t="s">
        <v>753</v>
      </c>
      <c r="B368" s="5" t="s">
        <v>94</v>
      </c>
      <c r="C368" s="5" t="s">
        <v>30</v>
      </c>
      <c r="D368" s="5" t="s">
        <v>112</v>
      </c>
      <c r="E368" s="6">
        <v>20</v>
      </c>
      <c r="F368" s="6">
        <v>4</v>
      </c>
      <c r="G368" s="6">
        <v>80</v>
      </c>
      <c r="H368" s="5" t="s">
        <v>27</v>
      </c>
      <c r="I368" s="5" t="s">
        <v>39</v>
      </c>
      <c r="J368" s="6" t="s">
        <v>754</v>
      </c>
      <c r="K368" s="8" t="b">
        <v>1</v>
      </c>
      <c r="L368" s="9" t="s">
        <v>32</v>
      </c>
    </row>
    <row r="369" spans="1:12" ht="45.75" thickBot="1" x14ac:dyDescent="0.3">
      <c r="A369" s="10" t="s">
        <v>755</v>
      </c>
      <c r="B369" s="11" t="s">
        <v>29</v>
      </c>
      <c r="C369" s="11" t="s">
        <v>75</v>
      </c>
      <c r="D369" s="11" t="s">
        <v>481</v>
      </c>
      <c r="E369" s="12">
        <v>36.5</v>
      </c>
      <c r="F369" s="12">
        <v>7</v>
      </c>
      <c r="G369" s="12">
        <v>255.5</v>
      </c>
      <c r="H369" s="11" t="s">
        <v>27</v>
      </c>
      <c r="I369" s="11" t="s">
        <v>16</v>
      </c>
      <c r="J369" s="12" t="s">
        <v>756</v>
      </c>
      <c r="K369" s="11"/>
      <c r="L369" s="14" t="s">
        <v>17</v>
      </c>
    </row>
    <row r="370" spans="1:12" ht="15.75" thickBot="1" x14ac:dyDescent="0.3">
      <c r="A370" s="4" t="s">
        <v>757</v>
      </c>
      <c r="B370" s="5" t="s">
        <v>136</v>
      </c>
      <c r="C370" s="5" t="s">
        <v>20</v>
      </c>
      <c r="D370" s="5" t="s">
        <v>451</v>
      </c>
      <c r="E370" s="6">
        <v>26</v>
      </c>
      <c r="F370" s="6">
        <v>7</v>
      </c>
      <c r="G370" s="6">
        <v>182</v>
      </c>
      <c r="H370" s="5" t="s">
        <v>15</v>
      </c>
      <c r="I370" s="5" t="s">
        <v>16</v>
      </c>
      <c r="J370" s="7">
        <v>44720</v>
      </c>
      <c r="K370" s="5"/>
      <c r="L370" s="9" t="s">
        <v>35</v>
      </c>
    </row>
    <row r="371" spans="1:12" ht="15.75" thickBot="1" x14ac:dyDescent="0.3">
      <c r="A371" s="10" t="s">
        <v>758</v>
      </c>
      <c r="B371" s="11" t="s">
        <v>48</v>
      </c>
      <c r="C371" s="11" t="s">
        <v>49</v>
      </c>
      <c r="D371" s="11" t="s">
        <v>736</v>
      </c>
      <c r="E371" s="12">
        <v>11</v>
      </c>
      <c r="F371" s="12">
        <v>9</v>
      </c>
      <c r="G371" s="12">
        <v>99</v>
      </c>
      <c r="H371" s="11" t="s">
        <v>27</v>
      </c>
      <c r="I371" s="11" t="s">
        <v>39</v>
      </c>
      <c r="J371" s="15">
        <v>45599</v>
      </c>
      <c r="K371" s="11"/>
      <c r="L371" s="14" t="s">
        <v>32</v>
      </c>
    </row>
    <row r="372" spans="1:12" ht="15.75" thickBot="1" x14ac:dyDescent="0.3">
      <c r="A372" s="4" t="s">
        <v>759</v>
      </c>
      <c r="B372" s="5" t="s">
        <v>90</v>
      </c>
      <c r="C372" s="5" t="s">
        <v>13</v>
      </c>
      <c r="D372" s="5" t="s">
        <v>261</v>
      </c>
      <c r="E372" s="6">
        <v>9.5</v>
      </c>
      <c r="F372" s="6">
        <v>6</v>
      </c>
      <c r="G372" s="6">
        <v>57</v>
      </c>
      <c r="H372" s="5" t="s">
        <v>27</v>
      </c>
      <c r="I372" s="5" t="s">
        <v>16</v>
      </c>
      <c r="J372" s="7">
        <v>45113</v>
      </c>
      <c r="K372" s="5"/>
      <c r="L372" s="9" t="s">
        <v>32</v>
      </c>
    </row>
    <row r="373" spans="1:12" ht="45.75" thickBot="1" x14ac:dyDescent="0.3">
      <c r="A373" s="10" t="s">
        <v>760</v>
      </c>
      <c r="B373" s="11" t="s">
        <v>99</v>
      </c>
      <c r="C373" s="11" t="s">
        <v>75</v>
      </c>
      <c r="D373" s="11" t="s">
        <v>479</v>
      </c>
      <c r="E373" s="12">
        <v>21.5</v>
      </c>
      <c r="F373" s="12">
        <v>2</v>
      </c>
      <c r="G373" s="12">
        <v>43</v>
      </c>
      <c r="H373" s="11" t="s">
        <v>51</v>
      </c>
      <c r="I373" s="11" t="s">
        <v>16</v>
      </c>
      <c r="J373" s="15">
        <v>44843</v>
      </c>
      <c r="K373" s="13" t="b">
        <v>0</v>
      </c>
      <c r="L373" s="14" t="s">
        <v>32</v>
      </c>
    </row>
    <row r="374" spans="1:12" ht="15.75" thickBot="1" x14ac:dyDescent="0.3">
      <c r="A374" s="4" t="s">
        <v>761</v>
      </c>
      <c r="B374" s="5" t="s">
        <v>149</v>
      </c>
      <c r="C374" s="5" t="s">
        <v>25</v>
      </c>
      <c r="D374" s="5" t="s">
        <v>762</v>
      </c>
      <c r="E374" s="6">
        <v>29</v>
      </c>
      <c r="F374" s="6">
        <v>1</v>
      </c>
      <c r="G374" s="6">
        <v>29</v>
      </c>
      <c r="H374" s="5" t="s">
        <v>51</v>
      </c>
      <c r="I374" s="5" t="s">
        <v>39</v>
      </c>
      <c r="J374" s="6" t="s">
        <v>763</v>
      </c>
      <c r="K374" s="8" t="b">
        <v>1</v>
      </c>
      <c r="L374" s="9" t="s">
        <v>32</v>
      </c>
    </row>
    <row r="375" spans="1:12" ht="15.75" thickBot="1" x14ac:dyDescent="0.3">
      <c r="A375" s="10" t="s">
        <v>764</v>
      </c>
      <c r="B375" s="11" t="s">
        <v>86</v>
      </c>
      <c r="C375" s="11" t="s">
        <v>20</v>
      </c>
      <c r="D375" s="11"/>
      <c r="E375" s="12">
        <v>26</v>
      </c>
      <c r="F375" s="11"/>
      <c r="G375" s="11"/>
      <c r="H375" s="11" t="s">
        <v>15</v>
      </c>
      <c r="I375" s="11" t="s">
        <v>39</v>
      </c>
      <c r="J375" s="15">
        <v>44903</v>
      </c>
      <c r="K375" s="11"/>
      <c r="L375" s="14" t="s">
        <v>32</v>
      </c>
    </row>
    <row r="376" spans="1:12" ht="15.75" thickBot="1" x14ac:dyDescent="0.3">
      <c r="A376" s="4" t="s">
        <v>765</v>
      </c>
      <c r="B376" s="5" t="s">
        <v>74</v>
      </c>
      <c r="C376" s="5" t="s">
        <v>49</v>
      </c>
      <c r="D376" s="5" t="s">
        <v>395</v>
      </c>
      <c r="E376" s="6">
        <v>23</v>
      </c>
      <c r="F376" s="6">
        <v>5</v>
      </c>
      <c r="G376" s="6">
        <v>115</v>
      </c>
      <c r="H376" s="5" t="s">
        <v>27</v>
      </c>
      <c r="I376" s="5" t="s">
        <v>16</v>
      </c>
      <c r="J376" s="6" t="s">
        <v>766</v>
      </c>
      <c r="K376" s="8" t="b">
        <v>1</v>
      </c>
      <c r="L376" s="9" t="s">
        <v>35</v>
      </c>
    </row>
    <row r="377" spans="1:12" ht="15.75" thickBot="1" x14ac:dyDescent="0.3">
      <c r="A377" s="10" t="s">
        <v>767</v>
      </c>
      <c r="B377" s="11" t="s">
        <v>99</v>
      </c>
      <c r="C377" s="11" t="s">
        <v>13</v>
      </c>
      <c r="D377" s="11" t="s">
        <v>201</v>
      </c>
      <c r="E377" s="12">
        <v>24.5</v>
      </c>
      <c r="F377" s="12">
        <v>4</v>
      </c>
      <c r="G377" s="12">
        <v>98</v>
      </c>
      <c r="H377" s="11" t="s">
        <v>51</v>
      </c>
      <c r="I377" s="11" t="s">
        <v>16</v>
      </c>
      <c r="J377" s="15">
        <v>44716</v>
      </c>
      <c r="K377" s="11"/>
      <c r="L377" s="14" t="s">
        <v>32</v>
      </c>
    </row>
    <row r="378" spans="1:12" ht="15.75" thickBot="1" x14ac:dyDescent="0.3">
      <c r="A378" s="4" t="s">
        <v>768</v>
      </c>
      <c r="B378" s="5" t="s">
        <v>106</v>
      </c>
      <c r="C378" s="5" t="s">
        <v>20</v>
      </c>
      <c r="D378" s="5" t="s">
        <v>348</v>
      </c>
      <c r="E378" s="6">
        <v>5</v>
      </c>
      <c r="F378" s="6">
        <v>1</v>
      </c>
      <c r="G378" s="6">
        <v>5</v>
      </c>
      <c r="H378" s="5" t="s">
        <v>27</v>
      </c>
      <c r="I378" s="5" t="s">
        <v>16</v>
      </c>
      <c r="J378" s="6" t="s">
        <v>769</v>
      </c>
      <c r="K378" s="8" t="b">
        <v>1</v>
      </c>
      <c r="L378" s="9" t="s">
        <v>32</v>
      </c>
    </row>
    <row r="379" spans="1:12" ht="15.75" thickBot="1" x14ac:dyDescent="0.3">
      <c r="A379" s="10" t="s">
        <v>770</v>
      </c>
      <c r="B379" s="11" t="s">
        <v>29</v>
      </c>
      <c r="C379" s="11" t="s">
        <v>42</v>
      </c>
      <c r="D379" s="11" t="s">
        <v>95</v>
      </c>
      <c r="E379" s="12">
        <v>24.5</v>
      </c>
      <c r="F379" s="12">
        <v>4</v>
      </c>
      <c r="G379" s="12">
        <v>98</v>
      </c>
      <c r="H379" s="11" t="s">
        <v>51</v>
      </c>
      <c r="I379" s="11" t="s">
        <v>39</v>
      </c>
      <c r="J379" s="15">
        <v>45266</v>
      </c>
      <c r="K379" s="11"/>
      <c r="L379" s="14" t="s">
        <v>32</v>
      </c>
    </row>
    <row r="380" spans="1:12" ht="15.75" thickBot="1" x14ac:dyDescent="0.3">
      <c r="A380" s="4" t="s">
        <v>771</v>
      </c>
      <c r="B380" s="5" t="s">
        <v>117</v>
      </c>
      <c r="C380" s="5" t="s">
        <v>25</v>
      </c>
      <c r="D380" s="5" t="s">
        <v>125</v>
      </c>
      <c r="E380" s="6">
        <v>41</v>
      </c>
      <c r="F380" s="6">
        <v>9</v>
      </c>
      <c r="G380" s="6">
        <v>369</v>
      </c>
      <c r="H380" s="5" t="s">
        <v>27</v>
      </c>
      <c r="I380" s="5" t="s">
        <v>39</v>
      </c>
      <c r="J380" s="6" t="s">
        <v>772</v>
      </c>
      <c r="K380" s="8" t="b">
        <v>0</v>
      </c>
      <c r="L380" s="9" t="s">
        <v>17</v>
      </c>
    </row>
    <row r="381" spans="1:12" ht="15.75" thickBot="1" x14ac:dyDescent="0.3">
      <c r="A381" s="10" t="s">
        <v>773</v>
      </c>
      <c r="B381" s="11" t="s">
        <v>140</v>
      </c>
      <c r="C381" s="11" t="s">
        <v>13</v>
      </c>
      <c r="D381" s="11" t="s">
        <v>690</v>
      </c>
      <c r="E381" s="12">
        <v>15.5</v>
      </c>
      <c r="F381" s="12">
        <v>7</v>
      </c>
      <c r="G381" s="12">
        <v>108.5</v>
      </c>
      <c r="H381" s="11" t="s">
        <v>51</v>
      </c>
      <c r="I381" s="11" t="s">
        <v>39</v>
      </c>
      <c r="J381" s="12" t="s">
        <v>774</v>
      </c>
      <c r="K381" s="13" t="b">
        <v>1</v>
      </c>
      <c r="L381" s="14" t="s">
        <v>35</v>
      </c>
    </row>
    <row r="382" spans="1:12" ht="15.75" thickBot="1" x14ac:dyDescent="0.3">
      <c r="A382" s="4" t="s">
        <v>775</v>
      </c>
      <c r="B382" s="5" t="s">
        <v>44</v>
      </c>
      <c r="C382" s="5" t="s">
        <v>13</v>
      </c>
      <c r="D382" s="5" t="s">
        <v>776</v>
      </c>
      <c r="E382" s="6">
        <v>32</v>
      </c>
      <c r="F382" s="6">
        <v>10</v>
      </c>
      <c r="G382" s="6">
        <v>320</v>
      </c>
      <c r="H382" s="5" t="s">
        <v>15</v>
      </c>
      <c r="I382" s="5" t="s">
        <v>39</v>
      </c>
      <c r="J382" s="6" t="s">
        <v>777</v>
      </c>
      <c r="K382" s="5"/>
      <c r="L382" s="9" t="s">
        <v>17</v>
      </c>
    </row>
    <row r="383" spans="1:12" ht="15.75" thickBot="1" x14ac:dyDescent="0.3">
      <c r="A383" s="10" t="s">
        <v>778</v>
      </c>
      <c r="B383" s="11" t="s">
        <v>149</v>
      </c>
      <c r="C383" s="11" t="s">
        <v>13</v>
      </c>
      <c r="D383" s="11" t="s">
        <v>161</v>
      </c>
      <c r="E383" s="12">
        <v>20</v>
      </c>
      <c r="F383" s="12">
        <v>6</v>
      </c>
      <c r="G383" s="12">
        <v>120</v>
      </c>
      <c r="H383" s="11" t="s">
        <v>15</v>
      </c>
      <c r="I383" s="11" t="s">
        <v>16</v>
      </c>
      <c r="J383" s="15">
        <v>44754</v>
      </c>
      <c r="K383" s="11"/>
      <c r="L383" s="14" t="s">
        <v>35</v>
      </c>
    </row>
    <row r="384" spans="1:12" ht="15.75" thickBot="1" x14ac:dyDescent="0.3">
      <c r="A384" s="4" t="s">
        <v>779</v>
      </c>
      <c r="B384" s="5" t="s">
        <v>136</v>
      </c>
      <c r="C384" s="5" t="s">
        <v>25</v>
      </c>
      <c r="D384" s="5" t="s">
        <v>81</v>
      </c>
      <c r="E384" s="6">
        <v>14</v>
      </c>
      <c r="F384" s="6">
        <v>5</v>
      </c>
      <c r="G384" s="6">
        <v>70</v>
      </c>
      <c r="H384" s="5" t="s">
        <v>51</v>
      </c>
      <c r="I384" s="5" t="s">
        <v>39</v>
      </c>
      <c r="J384" s="6" t="s">
        <v>780</v>
      </c>
      <c r="K384" s="5"/>
      <c r="L384" s="9" t="s">
        <v>32</v>
      </c>
    </row>
    <row r="385" spans="1:12" ht="15.75" thickBot="1" x14ac:dyDescent="0.3">
      <c r="A385" s="10" t="s">
        <v>781</v>
      </c>
      <c r="B385" s="11" t="s">
        <v>48</v>
      </c>
      <c r="C385" s="11" t="s">
        <v>49</v>
      </c>
      <c r="D385" s="11" t="s">
        <v>137</v>
      </c>
      <c r="E385" s="12">
        <v>38</v>
      </c>
      <c r="F385" s="12">
        <v>1</v>
      </c>
      <c r="G385" s="12">
        <v>38</v>
      </c>
      <c r="H385" s="11" t="s">
        <v>51</v>
      </c>
      <c r="I385" s="11" t="s">
        <v>39</v>
      </c>
      <c r="J385" s="12" t="s">
        <v>782</v>
      </c>
      <c r="K385" s="13" t="b">
        <v>0</v>
      </c>
      <c r="L385" s="14" t="s">
        <v>32</v>
      </c>
    </row>
    <row r="386" spans="1:12" ht="45.75" thickBot="1" x14ac:dyDescent="0.3">
      <c r="A386" s="4" t="s">
        <v>783</v>
      </c>
      <c r="B386" s="5" t="s">
        <v>86</v>
      </c>
      <c r="C386" s="5" t="s">
        <v>158</v>
      </c>
      <c r="D386" s="5"/>
      <c r="E386" s="5"/>
      <c r="F386" s="6">
        <v>3</v>
      </c>
      <c r="G386" s="6">
        <v>96</v>
      </c>
      <c r="H386" s="5" t="s">
        <v>27</v>
      </c>
      <c r="I386" s="5" t="s">
        <v>16</v>
      </c>
      <c r="J386" s="6" t="s">
        <v>460</v>
      </c>
      <c r="K386" s="8" t="b">
        <v>0</v>
      </c>
      <c r="L386" s="9" t="s">
        <v>32</v>
      </c>
    </row>
    <row r="387" spans="1:12" ht="15.75" thickBot="1" x14ac:dyDescent="0.3">
      <c r="A387" s="10" t="s">
        <v>784</v>
      </c>
      <c r="B387" s="11" t="s">
        <v>149</v>
      </c>
      <c r="C387" s="11" t="s">
        <v>13</v>
      </c>
      <c r="D387" s="11" t="s">
        <v>785</v>
      </c>
      <c r="E387" s="12">
        <v>6.5</v>
      </c>
      <c r="F387" s="12">
        <v>8</v>
      </c>
      <c r="G387" s="12">
        <v>52</v>
      </c>
      <c r="H387" s="11" t="s">
        <v>15</v>
      </c>
      <c r="I387" s="11" t="s">
        <v>39</v>
      </c>
      <c r="J387" s="12" t="s">
        <v>786</v>
      </c>
      <c r="K387" s="11"/>
      <c r="L387" s="14" t="s">
        <v>32</v>
      </c>
    </row>
    <row r="388" spans="1:12" ht="15.75" thickBot="1" x14ac:dyDescent="0.3">
      <c r="A388" s="4" t="s">
        <v>787</v>
      </c>
      <c r="B388" s="5" t="s">
        <v>86</v>
      </c>
      <c r="C388" s="5" t="s">
        <v>49</v>
      </c>
      <c r="D388" s="5" t="s">
        <v>788</v>
      </c>
      <c r="E388" s="6">
        <v>24.5</v>
      </c>
      <c r="F388" s="6">
        <v>5</v>
      </c>
      <c r="G388" s="6">
        <v>122.5</v>
      </c>
      <c r="H388" s="5" t="s">
        <v>15</v>
      </c>
      <c r="I388" s="5" t="s">
        <v>16</v>
      </c>
      <c r="J388" s="6" t="s">
        <v>423</v>
      </c>
      <c r="K388" s="8" t="b">
        <v>0</v>
      </c>
      <c r="L388" s="9" t="s">
        <v>35</v>
      </c>
    </row>
    <row r="389" spans="1:12" ht="15.75" thickBot="1" x14ac:dyDescent="0.3">
      <c r="A389" s="10" t="s">
        <v>789</v>
      </c>
      <c r="B389" s="11" t="s">
        <v>127</v>
      </c>
      <c r="C389" s="11" t="s">
        <v>42</v>
      </c>
      <c r="D389" s="11" t="s">
        <v>449</v>
      </c>
      <c r="E389" s="12">
        <v>29</v>
      </c>
      <c r="F389" s="12">
        <v>9</v>
      </c>
      <c r="G389" s="12">
        <v>261</v>
      </c>
      <c r="H389" s="11" t="s">
        <v>15</v>
      </c>
      <c r="I389" s="11" t="s">
        <v>16</v>
      </c>
      <c r="J389" s="12" t="s">
        <v>790</v>
      </c>
      <c r="K389" s="13" t="b">
        <v>0</v>
      </c>
      <c r="L389" s="14" t="s">
        <v>17</v>
      </c>
    </row>
    <row r="390" spans="1:12" ht="45.75" thickBot="1" x14ac:dyDescent="0.3">
      <c r="A390" s="4" t="s">
        <v>791</v>
      </c>
      <c r="B390" s="5" t="s">
        <v>206</v>
      </c>
      <c r="C390" s="5" t="s">
        <v>75</v>
      </c>
      <c r="D390" s="5"/>
      <c r="E390" s="5"/>
      <c r="F390" s="6">
        <v>8</v>
      </c>
      <c r="G390" s="6">
        <v>220</v>
      </c>
      <c r="H390" s="5" t="s">
        <v>27</v>
      </c>
      <c r="I390" s="5" t="s">
        <v>16</v>
      </c>
      <c r="J390" s="7">
        <v>44903</v>
      </c>
      <c r="K390" s="5"/>
      <c r="L390" s="9" t="s">
        <v>17</v>
      </c>
    </row>
    <row r="391" spans="1:12" ht="15.75" thickBot="1" x14ac:dyDescent="0.3">
      <c r="A391" s="10" t="s">
        <v>792</v>
      </c>
      <c r="B391" s="11" t="s">
        <v>94</v>
      </c>
      <c r="C391" s="11" t="s">
        <v>20</v>
      </c>
      <c r="D391" s="11" t="s">
        <v>348</v>
      </c>
      <c r="E391" s="12">
        <v>5</v>
      </c>
      <c r="F391" s="12">
        <v>7</v>
      </c>
      <c r="G391" s="12">
        <v>35</v>
      </c>
      <c r="H391" s="11" t="s">
        <v>27</v>
      </c>
      <c r="I391" s="11" t="s">
        <v>39</v>
      </c>
      <c r="J391" s="12" t="s">
        <v>793</v>
      </c>
      <c r="K391" s="13" t="b">
        <v>1</v>
      </c>
      <c r="L391" s="14" t="s">
        <v>32</v>
      </c>
    </row>
    <row r="392" spans="1:12" ht="45.75" thickBot="1" x14ac:dyDescent="0.3">
      <c r="A392" s="4" t="s">
        <v>794</v>
      </c>
      <c r="B392" s="5" t="s">
        <v>71</v>
      </c>
      <c r="C392" s="5" t="s">
        <v>75</v>
      </c>
      <c r="D392" s="5" t="s">
        <v>493</v>
      </c>
      <c r="E392" s="6">
        <v>29</v>
      </c>
      <c r="F392" s="6">
        <v>9</v>
      </c>
      <c r="G392" s="6">
        <v>261</v>
      </c>
      <c r="H392" s="5" t="s">
        <v>15</v>
      </c>
      <c r="I392" s="5" t="s">
        <v>39</v>
      </c>
      <c r="J392" s="7">
        <v>45355</v>
      </c>
      <c r="K392" s="5"/>
      <c r="L392" s="9" t="s">
        <v>17</v>
      </c>
    </row>
    <row r="393" spans="1:12" ht="45.75" thickBot="1" x14ac:dyDescent="0.3">
      <c r="A393" s="10" t="s">
        <v>795</v>
      </c>
      <c r="B393" s="11" t="s">
        <v>106</v>
      </c>
      <c r="C393" s="11" t="s">
        <v>75</v>
      </c>
      <c r="D393" s="11" t="s">
        <v>313</v>
      </c>
      <c r="E393" s="12">
        <v>15.5</v>
      </c>
      <c r="F393" s="12">
        <v>1</v>
      </c>
      <c r="G393" s="12">
        <v>15.5</v>
      </c>
      <c r="H393" s="11" t="s">
        <v>27</v>
      </c>
      <c r="I393" s="11" t="s">
        <v>39</v>
      </c>
      <c r="J393" s="12" t="s">
        <v>618</v>
      </c>
      <c r="K393" s="11"/>
      <c r="L393" s="14" t="s">
        <v>32</v>
      </c>
    </row>
    <row r="394" spans="1:12" ht="15.75" thickBot="1" x14ac:dyDescent="0.3">
      <c r="A394" s="4" t="s">
        <v>796</v>
      </c>
      <c r="B394" s="5" t="s">
        <v>41</v>
      </c>
      <c r="C394" s="5" t="s">
        <v>42</v>
      </c>
      <c r="D394" s="5" t="s">
        <v>797</v>
      </c>
      <c r="E394" s="6">
        <v>33.5</v>
      </c>
      <c r="F394" s="6">
        <v>2</v>
      </c>
      <c r="G394" s="6">
        <v>67</v>
      </c>
      <c r="H394" s="5" t="s">
        <v>51</v>
      </c>
      <c r="I394" s="5" t="s">
        <v>16</v>
      </c>
      <c r="J394" s="6" t="s">
        <v>798</v>
      </c>
      <c r="K394" s="8" t="b">
        <v>0</v>
      </c>
      <c r="L394" s="9" t="s">
        <v>32</v>
      </c>
    </row>
    <row r="395" spans="1:12" ht="15.75" thickBot="1" x14ac:dyDescent="0.3">
      <c r="A395" s="10" t="s">
        <v>799</v>
      </c>
      <c r="B395" s="11" t="s">
        <v>94</v>
      </c>
      <c r="C395" s="11" t="s">
        <v>13</v>
      </c>
      <c r="D395" s="11" t="s">
        <v>486</v>
      </c>
      <c r="E395" s="12">
        <v>23</v>
      </c>
      <c r="F395" s="12">
        <v>1</v>
      </c>
      <c r="G395" s="12">
        <v>23</v>
      </c>
      <c r="H395" s="11" t="s">
        <v>27</v>
      </c>
      <c r="I395" s="11" t="s">
        <v>39</v>
      </c>
      <c r="J395" s="15">
        <v>44994</v>
      </c>
      <c r="K395" s="13" t="b">
        <v>1</v>
      </c>
      <c r="L395" s="14" t="s">
        <v>32</v>
      </c>
    </row>
    <row r="396" spans="1:12" ht="15.75" thickBot="1" x14ac:dyDescent="0.3">
      <c r="A396" s="4" t="s">
        <v>800</v>
      </c>
      <c r="B396" s="5" t="s">
        <v>94</v>
      </c>
      <c r="C396" s="5" t="s">
        <v>25</v>
      </c>
      <c r="D396" s="5" t="s">
        <v>635</v>
      </c>
      <c r="E396" s="6">
        <v>8</v>
      </c>
      <c r="F396" s="6">
        <v>3</v>
      </c>
      <c r="G396" s="6">
        <v>24</v>
      </c>
      <c r="H396" s="5" t="s">
        <v>27</v>
      </c>
      <c r="I396" s="5" t="s">
        <v>16</v>
      </c>
      <c r="J396" s="6" t="s">
        <v>801</v>
      </c>
      <c r="K396" s="5"/>
      <c r="L396" s="9" t="s">
        <v>32</v>
      </c>
    </row>
    <row r="397" spans="1:12" ht="15.75" thickBot="1" x14ac:dyDescent="0.3">
      <c r="A397" s="10" t="s">
        <v>802</v>
      </c>
      <c r="B397" s="11" t="s">
        <v>106</v>
      </c>
      <c r="C397" s="11" t="s">
        <v>49</v>
      </c>
      <c r="D397" s="11" t="s">
        <v>803</v>
      </c>
      <c r="E397" s="12">
        <v>12.5</v>
      </c>
      <c r="F397" s="12">
        <v>9</v>
      </c>
      <c r="G397" s="12">
        <v>112.5</v>
      </c>
      <c r="H397" s="11" t="s">
        <v>51</v>
      </c>
      <c r="I397" s="11" t="s">
        <v>16</v>
      </c>
      <c r="J397" s="12" t="s">
        <v>804</v>
      </c>
      <c r="K397" s="13" t="b">
        <v>0</v>
      </c>
      <c r="L397" s="14" t="s">
        <v>35</v>
      </c>
    </row>
    <row r="398" spans="1:12" ht="15.75" thickBot="1" x14ac:dyDescent="0.3">
      <c r="A398" s="4" t="s">
        <v>805</v>
      </c>
      <c r="B398" s="5" t="s">
        <v>78</v>
      </c>
      <c r="C398" s="5" t="s">
        <v>25</v>
      </c>
      <c r="D398" s="5" t="s">
        <v>26</v>
      </c>
      <c r="E398" s="6">
        <v>27.5</v>
      </c>
      <c r="F398" s="6">
        <v>10</v>
      </c>
      <c r="G398" s="6">
        <v>275</v>
      </c>
      <c r="H398" s="5" t="s">
        <v>27</v>
      </c>
      <c r="I398" s="5" t="s">
        <v>16</v>
      </c>
      <c r="J398" s="7">
        <v>44931</v>
      </c>
      <c r="K398" s="5"/>
      <c r="L398" s="9" t="s">
        <v>17</v>
      </c>
    </row>
    <row r="399" spans="1:12" ht="15.75" thickBot="1" x14ac:dyDescent="0.3">
      <c r="A399" s="10" t="s">
        <v>806</v>
      </c>
      <c r="B399" s="11" t="s">
        <v>78</v>
      </c>
      <c r="C399" s="11" t="s">
        <v>49</v>
      </c>
      <c r="D399" s="11" t="s">
        <v>137</v>
      </c>
      <c r="E399" s="12">
        <v>38</v>
      </c>
      <c r="F399" s="12">
        <v>5</v>
      </c>
      <c r="G399" s="12">
        <v>190</v>
      </c>
      <c r="H399" s="11" t="s">
        <v>27</v>
      </c>
      <c r="I399" s="11" t="s">
        <v>16</v>
      </c>
      <c r="J399" s="12" t="s">
        <v>807</v>
      </c>
      <c r="K399" s="13" t="b">
        <v>0</v>
      </c>
      <c r="L399" s="14" t="s">
        <v>35</v>
      </c>
    </row>
    <row r="400" spans="1:12" ht="15.75" thickBot="1" x14ac:dyDescent="0.3">
      <c r="A400" s="4" t="s">
        <v>808</v>
      </c>
      <c r="B400" s="5" t="s">
        <v>99</v>
      </c>
      <c r="C400" s="5" t="s">
        <v>13</v>
      </c>
      <c r="D400" s="5" t="s">
        <v>675</v>
      </c>
      <c r="E400" s="6">
        <v>17</v>
      </c>
      <c r="F400" s="6">
        <v>4</v>
      </c>
      <c r="G400" s="6">
        <v>68</v>
      </c>
      <c r="H400" s="5" t="s">
        <v>27</v>
      </c>
      <c r="I400" s="5" t="s">
        <v>39</v>
      </c>
      <c r="J400" s="7">
        <v>44992</v>
      </c>
      <c r="K400" s="5"/>
      <c r="L400" s="9" t="s">
        <v>32</v>
      </c>
    </row>
    <row r="401" spans="1:12" ht="15.75" thickBot="1" x14ac:dyDescent="0.3">
      <c r="A401" s="10" t="s">
        <v>809</v>
      </c>
      <c r="B401" s="11" t="s">
        <v>19</v>
      </c>
      <c r="C401" s="11" t="s">
        <v>20</v>
      </c>
      <c r="D401" s="11" t="s">
        <v>367</v>
      </c>
      <c r="E401" s="12">
        <v>8</v>
      </c>
      <c r="F401" s="12">
        <v>8</v>
      </c>
      <c r="G401" s="12">
        <v>64</v>
      </c>
      <c r="H401" s="11" t="s">
        <v>15</v>
      </c>
      <c r="I401" s="11" t="s">
        <v>16</v>
      </c>
      <c r="J401" s="12" t="s">
        <v>810</v>
      </c>
      <c r="K401" s="11"/>
      <c r="L401" s="14" t="s">
        <v>32</v>
      </c>
    </row>
    <row r="402" spans="1:12" ht="15.75" thickBot="1" x14ac:dyDescent="0.3">
      <c r="A402" s="4" t="s">
        <v>811</v>
      </c>
      <c r="B402" s="5" t="s">
        <v>24</v>
      </c>
      <c r="C402" s="5" t="s">
        <v>13</v>
      </c>
      <c r="D402" s="5" t="s">
        <v>110</v>
      </c>
      <c r="E402" s="6">
        <v>36.5</v>
      </c>
      <c r="F402" s="6">
        <v>5</v>
      </c>
      <c r="G402" s="6">
        <v>182.5</v>
      </c>
      <c r="H402" s="5" t="s">
        <v>15</v>
      </c>
      <c r="I402" s="5" t="s">
        <v>39</v>
      </c>
      <c r="J402" s="6" t="s">
        <v>812</v>
      </c>
      <c r="K402" s="8" t="b">
        <v>1</v>
      </c>
      <c r="L402" s="9" t="s">
        <v>35</v>
      </c>
    </row>
    <row r="403" spans="1:12" ht="45.75" thickBot="1" x14ac:dyDescent="0.3">
      <c r="A403" s="10" t="s">
        <v>813</v>
      </c>
      <c r="B403" s="11" t="s">
        <v>120</v>
      </c>
      <c r="C403" s="11" t="s">
        <v>75</v>
      </c>
      <c r="D403" s="11" t="s">
        <v>645</v>
      </c>
      <c r="E403" s="12">
        <v>20</v>
      </c>
      <c r="F403" s="12">
        <v>3</v>
      </c>
      <c r="G403" s="12">
        <v>60</v>
      </c>
      <c r="H403" s="11" t="s">
        <v>27</v>
      </c>
      <c r="I403" s="11" t="s">
        <v>39</v>
      </c>
      <c r="J403" s="12" t="s">
        <v>176</v>
      </c>
      <c r="K403" s="11"/>
      <c r="L403" s="14" t="s">
        <v>32</v>
      </c>
    </row>
    <row r="404" spans="1:12" ht="15.75" thickBot="1" x14ac:dyDescent="0.3">
      <c r="A404" s="4" t="s">
        <v>814</v>
      </c>
      <c r="B404" s="5" t="s">
        <v>74</v>
      </c>
      <c r="C404" s="5" t="s">
        <v>30</v>
      </c>
      <c r="D404" s="5" t="s">
        <v>112</v>
      </c>
      <c r="E404" s="6">
        <v>20</v>
      </c>
      <c r="F404" s="6">
        <v>3</v>
      </c>
      <c r="G404" s="6">
        <v>60</v>
      </c>
      <c r="H404" s="5" t="s">
        <v>51</v>
      </c>
      <c r="I404" s="5" t="s">
        <v>16</v>
      </c>
      <c r="J404" s="7">
        <v>45417</v>
      </c>
      <c r="K404" s="8" t="b">
        <v>0</v>
      </c>
      <c r="L404" s="9" t="s">
        <v>32</v>
      </c>
    </row>
    <row r="405" spans="1:12" ht="15.75" thickBot="1" x14ac:dyDescent="0.3">
      <c r="A405" s="10" t="s">
        <v>815</v>
      </c>
      <c r="B405" s="11" t="s">
        <v>117</v>
      </c>
      <c r="C405" s="11" t="s">
        <v>13</v>
      </c>
      <c r="D405" s="11" t="s">
        <v>68</v>
      </c>
      <c r="E405" s="12">
        <v>29</v>
      </c>
      <c r="F405" s="12">
        <v>8</v>
      </c>
      <c r="G405" s="12">
        <v>232</v>
      </c>
      <c r="H405" s="11" t="s">
        <v>51</v>
      </c>
      <c r="I405" s="11" t="s">
        <v>16</v>
      </c>
      <c r="J405" s="12" t="s">
        <v>69</v>
      </c>
      <c r="K405" s="11"/>
      <c r="L405" s="14" t="s">
        <v>17</v>
      </c>
    </row>
    <row r="406" spans="1:12" ht="45.75" thickBot="1" x14ac:dyDescent="0.3">
      <c r="A406" s="4" t="s">
        <v>816</v>
      </c>
      <c r="B406" s="5" t="s">
        <v>127</v>
      </c>
      <c r="C406" s="5" t="s">
        <v>158</v>
      </c>
      <c r="D406" s="5" t="s">
        <v>189</v>
      </c>
      <c r="E406" s="6">
        <v>39.5</v>
      </c>
      <c r="F406" s="6">
        <v>8</v>
      </c>
      <c r="G406" s="6">
        <v>316</v>
      </c>
      <c r="H406" s="5" t="s">
        <v>51</v>
      </c>
      <c r="I406" s="5" t="s">
        <v>16</v>
      </c>
      <c r="J406" s="6" t="s">
        <v>817</v>
      </c>
      <c r="K406" s="8" t="b">
        <v>1</v>
      </c>
      <c r="L406" s="9" t="s">
        <v>17</v>
      </c>
    </row>
    <row r="407" spans="1:12" ht="45.75" thickBot="1" x14ac:dyDescent="0.3">
      <c r="A407" s="10" t="s">
        <v>818</v>
      </c>
      <c r="B407" s="11" t="s">
        <v>206</v>
      </c>
      <c r="C407" s="11" t="s">
        <v>158</v>
      </c>
      <c r="D407" s="11" t="s">
        <v>195</v>
      </c>
      <c r="E407" s="12">
        <v>36.5</v>
      </c>
      <c r="F407" s="12">
        <v>2</v>
      </c>
      <c r="G407" s="12">
        <v>73</v>
      </c>
      <c r="H407" s="11" t="s">
        <v>51</v>
      </c>
      <c r="I407" s="11" t="s">
        <v>39</v>
      </c>
      <c r="J407" s="12" t="s">
        <v>176</v>
      </c>
      <c r="K407" s="13" t="b">
        <v>0</v>
      </c>
      <c r="L407" s="14" t="s">
        <v>32</v>
      </c>
    </row>
    <row r="408" spans="1:12" ht="15.75" thickBot="1" x14ac:dyDescent="0.3">
      <c r="A408" s="4" t="s">
        <v>819</v>
      </c>
      <c r="B408" s="5" t="s">
        <v>24</v>
      </c>
      <c r="C408" s="5" t="s">
        <v>42</v>
      </c>
      <c r="D408" s="5" t="s">
        <v>820</v>
      </c>
      <c r="E408" s="6">
        <v>17</v>
      </c>
      <c r="F408" s="6">
        <v>4</v>
      </c>
      <c r="G408" s="6">
        <v>68</v>
      </c>
      <c r="H408" s="5" t="s">
        <v>51</v>
      </c>
      <c r="I408" s="5" t="s">
        <v>39</v>
      </c>
      <c r="J408" s="6" t="s">
        <v>821</v>
      </c>
      <c r="K408" s="8" t="b">
        <v>0</v>
      </c>
      <c r="L408" s="9" t="s">
        <v>32</v>
      </c>
    </row>
    <row r="409" spans="1:12" ht="45.75" thickBot="1" x14ac:dyDescent="0.3">
      <c r="A409" s="10" t="s">
        <v>822</v>
      </c>
      <c r="B409" s="11" t="s">
        <v>60</v>
      </c>
      <c r="C409" s="11" t="s">
        <v>75</v>
      </c>
      <c r="D409" s="11" t="s">
        <v>121</v>
      </c>
      <c r="E409" s="12">
        <v>35</v>
      </c>
      <c r="F409" s="12">
        <v>8</v>
      </c>
      <c r="G409" s="12">
        <v>280</v>
      </c>
      <c r="H409" s="11" t="s">
        <v>27</v>
      </c>
      <c r="I409" s="11" t="s">
        <v>16</v>
      </c>
      <c r="J409" s="12" t="s">
        <v>823</v>
      </c>
      <c r="K409" s="13" t="b">
        <v>0</v>
      </c>
      <c r="L409" s="14" t="s">
        <v>17</v>
      </c>
    </row>
    <row r="410" spans="1:12" ht="45.75" thickBot="1" x14ac:dyDescent="0.3">
      <c r="A410" s="4" t="s">
        <v>824</v>
      </c>
      <c r="B410" s="5" t="s">
        <v>74</v>
      </c>
      <c r="C410" s="5" t="s">
        <v>75</v>
      </c>
      <c r="D410" s="5"/>
      <c r="E410" s="6">
        <v>41</v>
      </c>
      <c r="F410" s="5"/>
      <c r="G410" s="5"/>
      <c r="H410" s="5" t="s">
        <v>15</v>
      </c>
      <c r="I410" s="5" t="s">
        <v>16</v>
      </c>
      <c r="J410" s="7">
        <v>44840</v>
      </c>
      <c r="K410" s="5"/>
      <c r="L410" s="9" t="s">
        <v>32</v>
      </c>
    </row>
    <row r="411" spans="1:12" ht="45.75" thickBot="1" x14ac:dyDescent="0.3">
      <c r="A411" s="10" t="s">
        <v>825</v>
      </c>
      <c r="B411" s="11" t="s">
        <v>120</v>
      </c>
      <c r="C411" s="11" t="s">
        <v>158</v>
      </c>
      <c r="D411" s="11" t="s">
        <v>471</v>
      </c>
      <c r="E411" s="12">
        <v>32</v>
      </c>
      <c r="F411" s="12">
        <v>10</v>
      </c>
      <c r="G411" s="12">
        <v>320</v>
      </c>
      <c r="H411" s="11" t="s">
        <v>51</v>
      </c>
      <c r="I411" s="11" t="s">
        <v>16</v>
      </c>
      <c r="J411" s="12" t="s">
        <v>812</v>
      </c>
      <c r="K411" s="11"/>
      <c r="L411" s="14" t="s">
        <v>17</v>
      </c>
    </row>
    <row r="412" spans="1:12" ht="15.75" thickBot="1" x14ac:dyDescent="0.3">
      <c r="A412" s="4" t="s">
        <v>826</v>
      </c>
      <c r="B412" s="5" t="s">
        <v>29</v>
      </c>
      <c r="C412" s="5" t="s">
        <v>42</v>
      </c>
      <c r="D412" s="5" t="s">
        <v>797</v>
      </c>
      <c r="E412" s="6">
        <v>33.5</v>
      </c>
      <c r="F412" s="6">
        <v>1</v>
      </c>
      <c r="G412" s="6">
        <v>33.5</v>
      </c>
      <c r="H412" s="5" t="s">
        <v>15</v>
      </c>
      <c r="I412" s="5" t="s">
        <v>39</v>
      </c>
      <c r="J412" s="6" t="s">
        <v>210</v>
      </c>
      <c r="K412" s="8" t="b">
        <v>0</v>
      </c>
      <c r="L412" s="9" t="s">
        <v>32</v>
      </c>
    </row>
    <row r="413" spans="1:12" ht="45.75" thickBot="1" x14ac:dyDescent="0.3">
      <c r="A413" s="10" t="s">
        <v>827</v>
      </c>
      <c r="B413" s="11" t="s">
        <v>149</v>
      </c>
      <c r="C413" s="11" t="s">
        <v>75</v>
      </c>
      <c r="D413" s="11" t="s">
        <v>459</v>
      </c>
      <c r="E413" s="12">
        <v>38</v>
      </c>
      <c r="F413" s="12">
        <v>6</v>
      </c>
      <c r="G413" s="12">
        <v>228</v>
      </c>
      <c r="H413" s="11" t="s">
        <v>27</v>
      </c>
      <c r="I413" s="11" t="s">
        <v>16</v>
      </c>
      <c r="J413" s="12" t="s">
        <v>828</v>
      </c>
      <c r="K413" s="13" t="b">
        <v>1</v>
      </c>
      <c r="L413" s="14" t="s">
        <v>17</v>
      </c>
    </row>
    <row r="414" spans="1:12" ht="15.75" thickBot="1" x14ac:dyDescent="0.3">
      <c r="A414" s="4" t="s">
        <v>829</v>
      </c>
      <c r="B414" s="5" t="s">
        <v>78</v>
      </c>
      <c r="C414" s="5" t="s">
        <v>49</v>
      </c>
      <c r="D414" s="5" t="s">
        <v>560</v>
      </c>
      <c r="E414" s="6">
        <v>21.5</v>
      </c>
      <c r="F414" s="6">
        <v>3</v>
      </c>
      <c r="G414" s="6">
        <v>64.5</v>
      </c>
      <c r="H414" s="5" t="s">
        <v>15</v>
      </c>
      <c r="I414" s="5" t="s">
        <v>16</v>
      </c>
      <c r="J414" s="6" t="s">
        <v>830</v>
      </c>
      <c r="K414" s="5"/>
      <c r="L414" s="9" t="s">
        <v>32</v>
      </c>
    </row>
    <row r="415" spans="1:12" ht="15.75" thickBot="1" x14ac:dyDescent="0.3">
      <c r="A415" s="10" t="s">
        <v>831</v>
      </c>
      <c r="B415" s="11" t="s">
        <v>86</v>
      </c>
      <c r="C415" s="11" t="s">
        <v>49</v>
      </c>
      <c r="D415" s="11" t="s">
        <v>560</v>
      </c>
      <c r="E415" s="12">
        <v>21.5</v>
      </c>
      <c r="F415" s="12">
        <v>8</v>
      </c>
      <c r="G415" s="12">
        <v>172</v>
      </c>
      <c r="H415" s="11" t="s">
        <v>27</v>
      </c>
      <c r="I415" s="11" t="s">
        <v>39</v>
      </c>
      <c r="J415" s="12" t="s">
        <v>832</v>
      </c>
      <c r="K415" s="11"/>
      <c r="L415" s="14" t="s">
        <v>35</v>
      </c>
    </row>
    <row r="416" spans="1:12" ht="45.75" thickBot="1" x14ac:dyDescent="0.3">
      <c r="A416" s="4" t="s">
        <v>833</v>
      </c>
      <c r="B416" s="5" t="s">
        <v>86</v>
      </c>
      <c r="C416" s="5" t="s">
        <v>158</v>
      </c>
      <c r="D416" s="5" t="s">
        <v>414</v>
      </c>
      <c r="E416" s="6">
        <v>24.5</v>
      </c>
      <c r="F416" s="6">
        <v>6</v>
      </c>
      <c r="G416" s="6">
        <v>147</v>
      </c>
      <c r="H416" s="5" t="s">
        <v>15</v>
      </c>
      <c r="I416" s="5" t="s">
        <v>39</v>
      </c>
      <c r="J416" s="6" t="s">
        <v>834</v>
      </c>
      <c r="K416" s="8" t="b">
        <v>0</v>
      </c>
      <c r="L416" s="9" t="s">
        <v>35</v>
      </c>
    </row>
    <row r="417" spans="1:12" ht="15.75" thickBot="1" x14ac:dyDescent="0.3">
      <c r="A417" s="10" t="s">
        <v>835</v>
      </c>
      <c r="B417" s="11" t="s">
        <v>78</v>
      </c>
      <c r="C417" s="11" t="s">
        <v>20</v>
      </c>
      <c r="D417" s="11" t="s">
        <v>510</v>
      </c>
      <c r="E417" s="12">
        <v>6.5</v>
      </c>
      <c r="F417" s="12">
        <v>1</v>
      </c>
      <c r="G417" s="12">
        <v>6.5</v>
      </c>
      <c r="H417" s="11" t="s">
        <v>27</v>
      </c>
      <c r="I417" s="11" t="s">
        <v>16</v>
      </c>
      <c r="J417" s="15">
        <v>44866</v>
      </c>
      <c r="K417" s="13" t="b">
        <v>0</v>
      </c>
      <c r="L417" s="14" t="s">
        <v>32</v>
      </c>
    </row>
    <row r="418" spans="1:12" ht="45.75" thickBot="1" x14ac:dyDescent="0.3">
      <c r="A418" s="4" t="s">
        <v>836</v>
      </c>
      <c r="B418" s="5" t="s">
        <v>106</v>
      </c>
      <c r="C418" s="5" t="s">
        <v>158</v>
      </c>
      <c r="D418" s="5" t="s">
        <v>837</v>
      </c>
      <c r="E418" s="6">
        <v>21.5</v>
      </c>
      <c r="F418" s="6">
        <v>9</v>
      </c>
      <c r="G418" s="6">
        <v>193.5</v>
      </c>
      <c r="H418" s="5" t="s">
        <v>51</v>
      </c>
      <c r="I418" s="5" t="s">
        <v>16</v>
      </c>
      <c r="J418" s="7">
        <v>45393</v>
      </c>
      <c r="K418" s="8" t="b">
        <v>0</v>
      </c>
      <c r="L418" s="9" t="s">
        <v>35</v>
      </c>
    </row>
    <row r="419" spans="1:12" ht="45.75" thickBot="1" x14ac:dyDescent="0.3">
      <c r="A419" s="10" t="s">
        <v>838</v>
      </c>
      <c r="B419" s="11" t="s">
        <v>117</v>
      </c>
      <c r="C419" s="11" t="s">
        <v>75</v>
      </c>
      <c r="D419" s="11" t="s">
        <v>453</v>
      </c>
      <c r="E419" s="12">
        <v>33.5</v>
      </c>
      <c r="F419" s="12">
        <v>4</v>
      </c>
      <c r="G419" s="12">
        <v>134</v>
      </c>
      <c r="H419" s="11" t="s">
        <v>27</v>
      </c>
      <c r="I419" s="11" t="s">
        <v>16</v>
      </c>
      <c r="J419" s="15">
        <v>45627</v>
      </c>
      <c r="K419" s="11"/>
      <c r="L419" s="14" t="s">
        <v>35</v>
      </c>
    </row>
    <row r="420" spans="1:12" ht="15.75" thickBot="1" x14ac:dyDescent="0.3">
      <c r="A420" s="4" t="s">
        <v>839</v>
      </c>
      <c r="B420" s="5" t="s">
        <v>136</v>
      </c>
      <c r="C420" s="5" t="s">
        <v>42</v>
      </c>
      <c r="D420" s="5"/>
      <c r="E420" s="5"/>
      <c r="F420" s="6">
        <v>1</v>
      </c>
      <c r="G420" s="6">
        <v>27.5</v>
      </c>
      <c r="H420" s="5" t="s">
        <v>27</v>
      </c>
      <c r="I420" s="5" t="s">
        <v>16</v>
      </c>
      <c r="J420" s="6" t="s">
        <v>460</v>
      </c>
      <c r="K420" s="8" t="b">
        <v>0</v>
      </c>
      <c r="L420" s="9" t="s">
        <v>32</v>
      </c>
    </row>
    <row r="421" spans="1:12" ht="45.75" thickBot="1" x14ac:dyDescent="0.3">
      <c r="A421" s="10" t="s">
        <v>840</v>
      </c>
      <c r="B421" s="11" t="s">
        <v>136</v>
      </c>
      <c r="C421" s="11" t="s">
        <v>75</v>
      </c>
      <c r="D421" s="11" t="s">
        <v>617</v>
      </c>
      <c r="E421" s="12">
        <v>11</v>
      </c>
      <c r="F421" s="12">
        <v>3</v>
      </c>
      <c r="G421" s="12">
        <v>33</v>
      </c>
      <c r="H421" s="11" t="s">
        <v>51</v>
      </c>
      <c r="I421" s="11" t="s">
        <v>39</v>
      </c>
      <c r="J421" s="12" t="s">
        <v>841</v>
      </c>
      <c r="K421" s="13" t="b">
        <v>0</v>
      </c>
      <c r="L421" s="14" t="s">
        <v>32</v>
      </c>
    </row>
    <row r="422" spans="1:12" ht="15.75" thickBot="1" x14ac:dyDescent="0.3">
      <c r="A422" s="4" t="s">
        <v>842</v>
      </c>
      <c r="B422" s="5" t="s">
        <v>117</v>
      </c>
      <c r="C422" s="5" t="s">
        <v>49</v>
      </c>
      <c r="D422" s="5" t="s">
        <v>50</v>
      </c>
      <c r="E422" s="6">
        <v>36.5</v>
      </c>
      <c r="F422" s="6">
        <v>8</v>
      </c>
      <c r="G422" s="6">
        <v>292</v>
      </c>
      <c r="H422" s="5" t="s">
        <v>15</v>
      </c>
      <c r="I422" s="5" t="s">
        <v>16</v>
      </c>
      <c r="J422" s="6" t="s">
        <v>843</v>
      </c>
      <c r="K422" s="5"/>
      <c r="L422" s="9" t="s">
        <v>17</v>
      </c>
    </row>
    <row r="423" spans="1:12" ht="45.75" thickBot="1" x14ac:dyDescent="0.3">
      <c r="A423" s="10" t="s">
        <v>844</v>
      </c>
      <c r="B423" s="11" t="s">
        <v>44</v>
      </c>
      <c r="C423" s="11" t="s">
        <v>75</v>
      </c>
      <c r="D423" s="11" t="s">
        <v>416</v>
      </c>
      <c r="E423" s="12">
        <v>32</v>
      </c>
      <c r="F423" s="12">
        <v>6</v>
      </c>
      <c r="G423" s="12">
        <v>192</v>
      </c>
      <c r="H423" s="11" t="s">
        <v>27</v>
      </c>
      <c r="I423" s="11" t="s">
        <v>39</v>
      </c>
      <c r="J423" s="12" t="s">
        <v>219</v>
      </c>
      <c r="K423" s="11"/>
      <c r="L423" s="14" t="s">
        <v>35</v>
      </c>
    </row>
    <row r="424" spans="1:12" ht="15.75" thickBot="1" x14ac:dyDescent="0.3">
      <c r="A424" s="4" t="s">
        <v>845</v>
      </c>
      <c r="B424" s="5" t="s">
        <v>74</v>
      </c>
      <c r="C424" s="5" t="s">
        <v>49</v>
      </c>
      <c r="D424" s="5" t="s">
        <v>560</v>
      </c>
      <c r="E424" s="6">
        <v>21.5</v>
      </c>
      <c r="F424" s="6">
        <v>10</v>
      </c>
      <c r="G424" s="6">
        <v>215</v>
      </c>
      <c r="H424" s="5" t="s">
        <v>51</v>
      </c>
      <c r="I424" s="5" t="s">
        <v>16</v>
      </c>
      <c r="J424" s="6" t="s">
        <v>846</v>
      </c>
      <c r="K424" s="8" t="b">
        <v>1</v>
      </c>
      <c r="L424" s="9" t="s">
        <v>17</v>
      </c>
    </row>
    <row r="425" spans="1:12" ht="45.75" thickBot="1" x14ac:dyDescent="0.3">
      <c r="A425" s="10" t="s">
        <v>847</v>
      </c>
      <c r="B425" s="11" t="s">
        <v>41</v>
      </c>
      <c r="C425" s="11" t="s">
        <v>158</v>
      </c>
      <c r="D425" s="11" t="s">
        <v>195</v>
      </c>
      <c r="E425" s="12">
        <v>36.5</v>
      </c>
      <c r="F425" s="12">
        <v>9</v>
      </c>
      <c r="G425" s="12">
        <v>328.5</v>
      </c>
      <c r="H425" s="11" t="s">
        <v>51</v>
      </c>
      <c r="I425" s="11" t="s">
        <v>16</v>
      </c>
      <c r="J425" s="12" t="s">
        <v>848</v>
      </c>
      <c r="K425" s="13" t="b">
        <v>0</v>
      </c>
      <c r="L425" s="14" t="s">
        <v>17</v>
      </c>
    </row>
    <row r="426" spans="1:12" ht="15.75" thickBot="1" x14ac:dyDescent="0.3">
      <c r="A426" s="4" t="s">
        <v>849</v>
      </c>
      <c r="B426" s="5" t="s">
        <v>127</v>
      </c>
      <c r="C426" s="5" t="s">
        <v>25</v>
      </c>
      <c r="D426" s="5" t="s">
        <v>141</v>
      </c>
      <c r="E426" s="6">
        <v>36.5</v>
      </c>
      <c r="F426" s="6">
        <v>4</v>
      </c>
      <c r="G426" s="6">
        <v>146</v>
      </c>
      <c r="H426" s="5" t="s">
        <v>15</v>
      </c>
      <c r="I426" s="5" t="s">
        <v>39</v>
      </c>
      <c r="J426" s="7">
        <v>44719</v>
      </c>
      <c r="K426" s="8" t="b">
        <v>0</v>
      </c>
      <c r="L426" s="9" t="s">
        <v>35</v>
      </c>
    </row>
    <row r="427" spans="1:12" ht="15.75" thickBot="1" x14ac:dyDescent="0.3">
      <c r="A427" s="10" t="s">
        <v>850</v>
      </c>
      <c r="B427" s="11" t="s">
        <v>44</v>
      </c>
      <c r="C427" s="11" t="s">
        <v>30</v>
      </c>
      <c r="D427" s="11" t="s">
        <v>91</v>
      </c>
      <c r="E427" s="12">
        <v>18.5</v>
      </c>
      <c r="F427" s="12">
        <v>6</v>
      </c>
      <c r="G427" s="12">
        <v>111</v>
      </c>
      <c r="H427" s="11" t="s">
        <v>51</v>
      </c>
      <c r="I427" s="11" t="s">
        <v>16</v>
      </c>
      <c r="J427" s="12" t="s">
        <v>851</v>
      </c>
      <c r="K427" s="11"/>
      <c r="L427" s="14" t="s">
        <v>35</v>
      </c>
    </row>
    <row r="428" spans="1:12" ht="15.75" thickBot="1" x14ac:dyDescent="0.3">
      <c r="A428" s="4" t="s">
        <v>852</v>
      </c>
      <c r="B428" s="5" t="s">
        <v>117</v>
      </c>
      <c r="C428" s="5" t="s">
        <v>20</v>
      </c>
      <c r="D428" s="5" t="s">
        <v>64</v>
      </c>
      <c r="E428" s="6">
        <v>27.5</v>
      </c>
      <c r="F428" s="6">
        <v>8</v>
      </c>
      <c r="G428" s="6">
        <v>220</v>
      </c>
      <c r="H428" s="5" t="s">
        <v>15</v>
      </c>
      <c r="I428" s="5" t="s">
        <v>16</v>
      </c>
      <c r="J428" s="6" t="s">
        <v>247</v>
      </c>
      <c r="K428" s="8" t="b">
        <v>1</v>
      </c>
      <c r="L428" s="9" t="s">
        <v>17</v>
      </c>
    </row>
    <row r="429" spans="1:12" ht="15.75" thickBot="1" x14ac:dyDescent="0.3">
      <c r="A429" s="10" t="s">
        <v>853</v>
      </c>
      <c r="B429" s="11" t="s">
        <v>120</v>
      </c>
      <c r="C429" s="11" t="s">
        <v>49</v>
      </c>
      <c r="D429" s="11" t="s">
        <v>464</v>
      </c>
      <c r="E429" s="12">
        <v>14</v>
      </c>
      <c r="F429" s="12">
        <v>2</v>
      </c>
      <c r="G429" s="12">
        <v>28</v>
      </c>
      <c r="H429" s="11" t="s">
        <v>51</v>
      </c>
      <c r="I429" s="11" t="s">
        <v>39</v>
      </c>
      <c r="J429" s="15">
        <v>45353</v>
      </c>
      <c r="K429" s="13" t="b">
        <v>0</v>
      </c>
      <c r="L429" s="14" t="s">
        <v>32</v>
      </c>
    </row>
    <row r="430" spans="1:12" ht="15.75" thickBot="1" x14ac:dyDescent="0.3">
      <c r="A430" s="4" t="s">
        <v>854</v>
      </c>
      <c r="B430" s="5" t="s">
        <v>60</v>
      </c>
      <c r="C430" s="5" t="s">
        <v>42</v>
      </c>
      <c r="D430" s="5" t="s">
        <v>381</v>
      </c>
      <c r="E430" s="6">
        <v>6.5</v>
      </c>
      <c r="F430" s="6">
        <v>6</v>
      </c>
      <c r="G430" s="6">
        <v>39</v>
      </c>
      <c r="H430" s="5" t="s">
        <v>15</v>
      </c>
      <c r="I430" s="5" t="s">
        <v>16</v>
      </c>
      <c r="J430" s="7">
        <v>45454</v>
      </c>
      <c r="K430" s="5"/>
      <c r="L430" s="9" t="s">
        <v>32</v>
      </c>
    </row>
    <row r="431" spans="1:12" ht="45.75" thickBot="1" x14ac:dyDescent="0.3">
      <c r="A431" s="10" t="s">
        <v>855</v>
      </c>
      <c r="B431" s="11" t="s">
        <v>127</v>
      </c>
      <c r="C431" s="11" t="s">
        <v>75</v>
      </c>
      <c r="D431" s="11" t="s">
        <v>479</v>
      </c>
      <c r="E431" s="12">
        <v>21.5</v>
      </c>
      <c r="F431" s="12">
        <v>7</v>
      </c>
      <c r="G431" s="12">
        <v>150.5</v>
      </c>
      <c r="H431" s="11" t="s">
        <v>51</v>
      </c>
      <c r="I431" s="11" t="s">
        <v>39</v>
      </c>
      <c r="J431" s="12" t="s">
        <v>52</v>
      </c>
      <c r="K431" s="13" t="b">
        <v>1</v>
      </c>
      <c r="L431" s="14" t="s">
        <v>35</v>
      </c>
    </row>
    <row r="432" spans="1:12" ht="15.75" thickBot="1" x14ac:dyDescent="0.3">
      <c r="A432" s="4" t="s">
        <v>856</v>
      </c>
      <c r="B432" s="5" t="s">
        <v>90</v>
      </c>
      <c r="C432" s="5" t="s">
        <v>20</v>
      </c>
      <c r="D432" s="5" t="s">
        <v>319</v>
      </c>
      <c r="E432" s="6">
        <v>38</v>
      </c>
      <c r="F432" s="6">
        <v>9</v>
      </c>
      <c r="G432" s="6">
        <v>342</v>
      </c>
      <c r="H432" s="5" t="s">
        <v>51</v>
      </c>
      <c r="I432" s="5" t="s">
        <v>16</v>
      </c>
      <c r="J432" s="6" t="s">
        <v>516</v>
      </c>
      <c r="K432" s="8" t="b">
        <v>1</v>
      </c>
      <c r="L432" s="9" t="s">
        <v>17</v>
      </c>
    </row>
    <row r="433" spans="1:12" ht="45.75" thickBot="1" x14ac:dyDescent="0.3">
      <c r="A433" s="10" t="s">
        <v>857</v>
      </c>
      <c r="B433" s="11" t="s">
        <v>99</v>
      </c>
      <c r="C433" s="11" t="s">
        <v>158</v>
      </c>
      <c r="D433" s="11" t="s">
        <v>168</v>
      </c>
      <c r="E433" s="12">
        <v>11</v>
      </c>
      <c r="F433" s="12">
        <v>3</v>
      </c>
      <c r="G433" s="12">
        <v>33</v>
      </c>
      <c r="H433" s="11" t="s">
        <v>15</v>
      </c>
      <c r="I433" s="11" t="s">
        <v>16</v>
      </c>
      <c r="J433" s="12" t="s">
        <v>351</v>
      </c>
      <c r="K433" s="13" t="b">
        <v>0</v>
      </c>
      <c r="L433" s="14" t="s">
        <v>32</v>
      </c>
    </row>
    <row r="434" spans="1:12" ht="15.75" thickBot="1" x14ac:dyDescent="0.3">
      <c r="A434" s="4" t="s">
        <v>858</v>
      </c>
      <c r="B434" s="5" t="s">
        <v>71</v>
      </c>
      <c r="C434" s="5" t="s">
        <v>13</v>
      </c>
      <c r="D434" s="5" t="s">
        <v>201</v>
      </c>
      <c r="E434" s="6">
        <v>24.5</v>
      </c>
      <c r="F434" s="6">
        <v>6</v>
      </c>
      <c r="G434" s="6">
        <v>147</v>
      </c>
      <c r="H434" s="5" t="s">
        <v>51</v>
      </c>
      <c r="I434" s="5" t="s">
        <v>39</v>
      </c>
      <c r="J434" s="7">
        <v>45809</v>
      </c>
      <c r="K434" s="8" t="b">
        <v>1</v>
      </c>
      <c r="L434" s="9" t="s">
        <v>35</v>
      </c>
    </row>
    <row r="435" spans="1:12" ht="45.75" thickBot="1" x14ac:dyDescent="0.3">
      <c r="A435" s="10" t="s">
        <v>859</v>
      </c>
      <c r="B435" s="11" t="s">
        <v>74</v>
      </c>
      <c r="C435" s="11" t="s">
        <v>158</v>
      </c>
      <c r="D435" s="11" t="s">
        <v>837</v>
      </c>
      <c r="E435" s="12">
        <v>21.5</v>
      </c>
      <c r="F435" s="12">
        <v>3</v>
      </c>
      <c r="G435" s="12">
        <v>64.5</v>
      </c>
      <c r="H435" s="11" t="s">
        <v>51</v>
      </c>
      <c r="I435" s="11" t="s">
        <v>16</v>
      </c>
      <c r="J435" s="12" t="s">
        <v>860</v>
      </c>
      <c r="K435" s="11"/>
      <c r="L435" s="14" t="s">
        <v>32</v>
      </c>
    </row>
    <row r="436" spans="1:12" ht="45.75" thickBot="1" x14ac:dyDescent="0.3">
      <c r="A436" s="4" t="s">
        <v>861</v>
      </c>
      <c r="B436" s="5" t="s">
        <v>41</v>
      </c>
      <c r="C436" s="5" t="s">
        <v>75</v>
      </c>
      <c r="D436" s="5"/>
      <c r="E436" s="6">
        <v>12.5</v>
      </c>
      <c r="F436" s="5"/>
      <c r="G436" s="5"/>
      <c r="H436" s="5" t="s">
        <v>27</v>
      </c>
      <c r="I436" s="5" t="s">
        <v>39</v>
      </c>
      <c r="J436" s="7">
        <v>44813</v>
      </c>
      <c r="K436" s="8" t="b">
        <v>0</v>
      </c>
      <c r="L436" s="9" t="s">
        <v>32</v>
      </c>
    </row>
    <row r="437" spans="1:12" ht="15.75" thickBot="1" x14ac:dyDescent="0.3">
      <c r="A437" s="10" t="s">
        <v>862</v>
      </c>
      <c r="B437" s="11" t="s">
        <v>29</v>
      </c>
      <c r="C437" s="11" t="s">
        <v>49</v>
      </c>
      <c r="D437" s="11" t="s">
        <v>501</v>
      </c>
      <c r="E437" s="12">
        <v>41</v>
      </c>
      <c r="F437" s="12">
        <v>5</v>
      </c>
      <c r="G437" s="12">
        <v>205</v>
      </c>
      <c r="H437" s="11" t="s">
        <v>51</v>
      </c>
      <c r="I437" s="11" t="s">
        <v>16</v>
      </c>
      <c r="J437" s="12" t="s">
        <v>429</v>
      </c>
      <c r="K437" s="11"/>
      <c r="L437" s="14" t="s">
        <v>17</v>
      </c>
    </row>
    <row r="438" spans="1:12" ht="15.75" thickBot="1" x14ac:dyDescent="0.3">
      <c r="A438" s="4" t="s">
        <v>863</v>
      </c>
      <c r="B438" s="5" t="s">
        <v>19</v>
      </c>
      <c r="C438" s="5" t="s">
        <v>42</v>
      </c>
      <c r="D438" s="5" t="s">
        <v>381</v>
      </c>
      <c r="E438" s="6">
        <v>6.5</v>
      </c>
      <c r="F438" s="6">
        <v>5</v>
      </c>
      <c r="G438" s="6">
        <v>32.5</v>
      </c>
      <c r="H438" s="5" t="s">
        <v>51</v>
      </c>
      <c r="I438" s="5" t="s">
        <v>39</v>
      </c>
      <c r="J438" s="6" t="s">
        <v>864</v>
      </c>
      <c r="K438" s="8" t="b">
        <v>0</v>
      </c>
      <c r="L438" s="9" t="s">
        <v>32</v>
      </c>
    </row>
    <row r="439" spans="1:12" ht="45.75" thickBot="1" x14ac:dyDescent="0.3">
      <c r="A439" s="10" t="s">
        <v>865</v>
      </c>
      <c r="B439" s="11" t="s">
        <v>106</v>
      </c>
      <c r="C439" s="11" t="s">
        <v>75</v>
      </c>
      <c r="D439" s="11" t="s">
        <v>866</v>
      </c>
      <c r="E439" s="12">
        <v>26</v>
      </c>
      <c r="F439" s="12">
        <v>7</v>
      </c>
      <c r="G439" s="12">
        <v>182</v>
      </c>
      <c r="H439" s="11" t="s">
        <v>15</v>
      </c>
      <c r="I439" s="11" t="s">
        <v>39</v>
      </c>
      <c r="J439" s="12" t="s">
        <v>867</v>
      </c>
      <c r="K439" s="11"/>
      <c r="L439" s="14" t="s">
        <v>35</v>
      </c>
    </row>
    <row r="440" spans="1:12" ht="45.75" thickBot="1" x14ac:dyDescent="0.3">
      <c r="A440" s="4" t="s">
        <v>868</v>
      </c>
      <c r="B440" s="5" t="s">
        <v>41</v>
      </c>
      <c r="C440" s="5" t="s">
        <v>75</v>
      </c>
      <c r="D440" s="5" t="s">
        <v>313</v>
      </c>
      <c r="E440" s="6">
        <v>15.5</v>
      </c>
      <c r="F440" s="6">
        <v>6</v>
      </c>
      <c r="G440" s="6">
        <v>93</v>
      </c>
      <c r="H440" s="5" t="s">
        <v>27</v>
      </c>
      <c r="I440" s="5" t="s">
        <v>16</v>
      </c>
      <c r="J440" s="6" t="s">
        <v>869</v>
      </c>
      <c r="K440" s="5"/>
      <c r="L440" s="9" t="s">
        <v>32</v>
      </c>
    </row>
    <row r="441" spans="1:12" ht="45.75" thickBot="1" x14ac:dyDescent="0.3">
      <c r="A441" s="10" t="s">
        <v>870</v>
      </c>
      <c r="B441" s="11" t="s">
        <v>78</v>
      </c>
      <c r="C441" s="11" t="s">
        <v>158</v>
      </c>
      <c r="D441" s="11" t="s">
        <v>182</v>
      </c>
      <c r="E441" s="12">
        <v>26</v>
      </c>
      <c r="F441" s="12">
        <v>1</v>
      </c>
      <c r="G441" s="12">
        <v>26</v>
      </c>
      <c r="H441" s="11" t="s">
        <v>15</v>
      </c>
      <c r="I441" s="11" t="s">
        <v>16</v>
      </c>
      <c r="J441" s="12" t="s">
        <v>582</v>
      </c>
      <c r="K441" s="11"/>
      <c r="L441" s="14" t="s">
        <v>32</v>
      </c>
    </row>
    <row r="442" spans="1:12" ht="15.75" thickBot="1" x14ac:dyDescent="0.3">
      <c r="A442" s="4" t="s">
        <v>871</v>
      </c>
      <c r="B442" s="5" t="s">
        <v>48</v>
      </c>
      <c r="C442" s="5" t="s">
        <v>13</v>
      </c>
      <c r="D442" s="5" t="s">
        <v>675</v>
      </c>
      <c r="E442" s="6">
        <v>17</v>
      </c>
      <c r="F442" s="6">
        <v>6</v>
      </c>
      <c r="G442" s="6">
        <v>102</v>
      </c>
      <c r="H442" s="5" t="s">
        <v>51</v>
      </c>
      <c r="I442" s="5" t="s">
        <v>39</v>
      </c>
      <c r="J442" s="7">
        <v>45481</v>
      </c>
      <c r="K442" s="5"/>
      <c r="L442" s="9" t="s">
        <v>35</v>
      </c>
    </row>
    <row r="443" spans="1:12" ht="15.75" thickBot="1" x14ac:dyDescent="0.3">
      <c r="A443" s="10" t="s">
        <v>872</v>
      </c>
      <c r="B443" s="11" t="s">
        <v>120</v>
      </c>
      <c r="C443" s="11" t="s">
        <v>49</v>
      </c>
      <c r="D443" s="11" t="s">
        <v>275</v>
      </c>
      <c r="E443" s="12">
        <v>35</v>
      </c>
      <c r="F443" s="12">
        <v>1</v>
      </c>
      <c r="G443" s="12">
        <v>35</v>
      </c>
      <c r="H443" s="11" t="s">
        <v>15</v>
      </c>
      <c r="I443" s="11" t="s">
        <v>39</v>
      </c>
      <c r="J443" s="12" t="s">
        <v>860</v>
      </c>
      <c r="K443" s="13" t="b">
        <v>1</v>
      </c>
      <c r="L443" s="14" t="s">
        <v>32</v>
      </c>
    </row>
    <row r="444" spans="1:12" ht="15.75" thickBot="1" x14ac:dyDescent="0.3">
      <c r="A444" s="4" t="s">
        <v>873</v>
      </c>
      <c r="B444" s="5" t="s">
        <v>136</v>
      </c>
      <c r="C444" s="5" t="s">
        <v>30</v>
      </c>
      <c r="D444" s="5"/>
      <c r="E444" s="5"/>
      <c r="F444" s="6">
        <v>2</v>
      </c>
      <c r="G444" s="6">
        <v>46</v>
      </c>
      <c r="H444" s="5" t="s">
        <v>15</v>
      </c>
      <c r="I444" s="5" t="s">
        <v>16</v>
      </c>
      <c r="J444" s="6" t="s">
        <v>462</v>
      </c>
      <c r="K444" s="5"/>
      <c r="L444" s="9" t="s">
        <v>32</v>
      </c>
    </row>
    <row r="445" spans="1:12" ht="15.75" thickBot="1" x14ac:dyDescent="0.3">
      <c r="A445" s="10" t="s">
        <v>874</v>
      </c>
      <c r="B445" s="11" t="s">
        <v>99</v>
      </c>
      <c r="C445" s="11" t="s">
        <v>30</v>
      </c>
      <c r="D445" s="11" t="s">
        <v>302</v>
      </c>
      <c r="E445" s="12">
        <v>17</v>
      </c>
      <c r="F445" s="12">
        <v>4</v>
      </c>
      <c r="G445" s="12">
        <v>68</v>
      </c>
      <c r="H445" s="11" t="s">
        <v>51</v>
      </c>
      <c r="I445" s="11" t="s">
        <v>39</v>
      </c>
      <c r="J445" s="12" t="s">
        <v>875</v>
      </c>
      <c r="K445" s="13" t="b">
        <v>1</v>
      </c>
      <c r="L445" s="14" t="s">
        <v>32</v>
      </c>
    </row>
    <row r="446" spans="1:12" ht="15.75" thickBot="1" x14ac:dyDescent="0.3">
      <c r="A446" s="4" t="s">
        <v>876</v>
      </c>
      <c r="B446" s="5" t="s">
        <v>29</v>
      </c>
      <c r="C446" s="5" t="s">
        <v>42</v>
      </c>
      <c r="D446" s="5" t="s">
        <v>95</v>
      </c>
      <c r="E446" s="6">
        <v>24.5</v>
      </c>
      <c r="F446" s="6">
        <v>4</v>
      </c>
      <c r="G446" s="6">
        <v>98</v>
      </c>
      <c r="H446" s="5" t="s">
        <v>27</v>
      </c>
      <c r="I446" s="5" t="s">
        <v>39</v>
      </c>
      <c r="J446" s="6" t="s">
        <v>877</v>
      </c>
      <c r="K446" s="8" t="b">
        <v>1</v>
      </c>
      <c r="L446" s="9" t="s">
        <v>32</v>
      </c>
    </row>
    <row r="447" spans="1:12" ht="45.75" thickBot="1" x14ac:dyDescent="0.3">
      <c r="A447" s="10" t="s">
        <v>878</v>
      </c>
      <c r="B447" s="11" t="s">
        <v>136</v>
      </c>
      <c r="C447" s="11" t="s">
        <v>158</v>
      </c>
      <c r="D447" s="11" t="s">
        <v>159</v>
      </c>
      <c r="E447" s="12">
        <v>27.5</v>
      </c>
      <c r="F447" s="12">
        <v>9</v>
      </c>
      <c r="G447" s="12">
        <v>247.5</v>
      </c>
      <c r="H447" s="11" t="s">
        <v>51</v>
      </c>
      <c r="I447" s="11" t="s">
        <v>16</v>
      </c>
      <c r="J447" s="12" t="s">
        <v>187</v>
      </c>
      <c r="K447" s="13" t="b">
        <v>0</v>
      </c>
      <c r="L447" s="14" t="s">
        <v>17</v>
      </c>
    </row>
    <row r="448" spans="1:12" ht="15.75" thickBot="1" x14ac:dyDescent="0.3">
      <c r="A448" s="4" t="s">
        <v>879</v>
      </c>
      <c r="B448" s="5" t="s">
        <v>29</v>
      </c>
      <c r="C448" s="5" t="s">
        <v>13</v>
      </c>
      <c r="D448" s="5" t="s">
        <v>261</v>
      </c>
      <c r="E448" s="6">
        <v>9.5</v>
      </c>
      <c r="F448" s="6">
        <v>2</v>
      </c>
      <c r="G448" s="6">
        <v>19</v>
      </c>
      <c r="H448" s="5" t="s">
        <v>15</v>
      </c>
      <c r="I448" s="5" t="s">
        <v>39</v>
      </c>
      <c r="J448" s="7">
        <v>45053</v>
      </c>
      <c r="K448" s="8" t="b">
        <v>1</v>
      </c>
      <c r="L448" s="9" t="s">
        <v>32</v>
      </c>
    </row>
    <row r="449" spans="1:12" ht="15.75" thickBot="1" x14ac:dyDescent="0.3">
      <c r="A449" s="10" t="s">
        <v>880</v>
      </c>
      <c r="B449" s="11" t="s">
        <v>140</v>
      </c>
      <c r="C449" s="11" t="s">
        <v>13</v>
      </c>
      <c r="D449" s="11" t="s">
        <v>261</v>
      </c>
      <c r="E449" s="12">
        <v>9.5</v>
      </c>
      <c r="F449" s="12">
        <v>2</v>
      </c>
      <c r="G449" s="12">
        <v>19</v>
      </c>
      <c r="H449" s="11" t="s">
        <v>15</v>
      </c>
      <c r="I449" s="11" t="s">
        <v>16</v>
      </c>
      <c r="J449" s="15">
        <v>45139</v>
      </c>
      <c r="K449" s="11"/>
      <c r="L449" s="14" t="s">
        <v>32</v>
      </c>
    </row>
    <row r="450" spans="1:12" ht="15.75" thickBot="1" x14ac:dyDescent="0.3">
      <c r="A450" s="4" t="s">
        <v>881</v>
      </c>
      <c r="B450" s="5" t="s">
        <v>24</v>
      </c>
      <c r="C450" s="5" t="s">
        <v>49</v>
      </c>
      <c r="D450" s="5" t="s">
        <v>100</v>
      </c>
      <c r="E450" s="6">
        <v>33.5</v>
      </c>
      <c r="F450" s="6">
        <v>2</v>
      </c>
      <c r="G450" s="6">
        <v>67</v>
      </c>
      <c r="H450" s="5" t="s">
        <v>27</v>
      </c>
      <c r="I450" s="5" t="s">
        <v>39</v>
      </c>
      <c r="J450" s="6" t="s">
        <v>265</v>
      </c>
      <c r="K450" s="8" t="b">
        <v>0</v>
      </c>
      <c r="L450" s="9" t="s">
        <v>32</v>
      </c>
    </row>
    <row r="451" spans="1:12" ht="15.75" thickBot="1" x14ac:dyDescent="0.3">
      <c r="A451" s="10" t="s">
        <v>882</v>
      </c>
      <c r="B451" s="11" t="s">
        <v>78</v>
      </c>
      <c r="C451" s="11" t="s">
        <v>13</v>
      </c>
      <c r="D451" s="11" t="s">
        <v>883</v>
      </c>
      <c r="E451" s="12">
        <v>11</v>
      </c>
      <c r="F451" s="12">
        <v>10</v>
      </c>
      <c r="G451" s="12">
        <v>110</v>
      </c>
      <c r="H451" s="11" t="s">
        <v>51</v>
      </c>
      <c r="I451" s="11" t="s">
        <v>39</v>
      </c>
      <c r="J451" s="12" t="s">
        <v>118</v>
      </c>
      <c r="K451" s="13" t="b">
        <v>1</v>
      </c>
      <c r="L451" s="14" t="s">
        <v>35</v>
      </c>
    </row>
    <row r="452" spans="1:12" ht="15.75" thickBot="1" x14ac:dyDescent="0.3">
      <c r="A452" s="4" t="s">
        <v>884</v>
      </c>
      <c r="B452" s="5" t="s">
        <v>94</v>
      </c>
      <c r="C452" s="5" t="s">
        <v>30</v>
      </c>
      <c r="D452" s="5"/>
      <c r="E452" s="6">
        <v>26</v>
      </c>
      <c r="F452" s="5"/>
      <c r="G452" s="5"/>
      <c r="H452" s="5" t="s">
        <v>51</v>
      </c>
      <c r="I452" s="5" t="s">
        <v>16</v>
      </c>
      <c r="J452" s="6" t="s">
        <v>885</v>
      </c>
      <c r="K452" s="8" t="b">
        <v>1</v>
      </c>
      <c r="L452" s="9" t="s">
        <v>32</v>
      </c>
    </row>
    <row r="453" spans="1:12" ht="15.75" thickBot="1" x14ac:dyDescent="0.3">
      <c r="A453" s="10" t="s">
        <v>886</v>
      </c>
      <c r="B453" s="11" t="s">
        <v>78</v>
      </c>
      <c r="C453" s="11" t="s">
        <v>13</v>
      </c>
      <c r="D453" s="11" t="s">
        <v>68</v>
      </c>
      <c r="E453" s="12">
        <v>29</v>
      </c>
      <c r="F453" s="12">
        <v>10</v>
      </c>
      <c r="G453" s="12">
        <v>290</v>
      </c>
      <c r="H453" s="11" t="s">
        <v>15</v>
      </c>
      <c r="I453" s="11" t="s">
        <v>16</v>
      </c>
      <c r="J453" s="15">
        <v>45574</v>
      </c>
      <c r="K453" s="13" t="b">
        <v>1</v>
      </c>
      <c r="L453" s="14" t="s">
        <v>17</v>
      </c>
    </row>
    <row r="454" spans="1:12" ht="15.75" thickBot="1" x14ac:dyDescent="0.3">
      <c r="A454" s="4" t="s">
        <v>887</v>
      </c>
      <c r="B454" s="5" t="s">
        <v>94</v>
      </c>
      <c r="C454" s="5" t="s">
        <v>30</v>
      </c>
      <c r="D454" s="5" t="s">
        <v>112</v>
      </c>
      <c r="E454" s="6">
        <v>20</v>
      </c>
      <c r="F454" s="6">
        <v>6</v>
      </c>
      <c r="G454" s="6">
        <v>120</v>
      </c>
      <c r="H454" s="5" t="s">
        <v>15</v>
      </c>
      <c r="I454" s="5" t="s">
        <v>16</v>
      </c>
      <c r="J454" s="7">
        <v>45634</v>
      </c>
      <c r="K454" s="8" t="b">
        <v>0</v>
      </c>
      <c r="L454" s="9" t="s">
        <v>35</v>
      </c>
    </row>
    <row r="455" spans="1:12" ht="15.75" thickBot="1" x14ac:dyDescent="0.3">
      <c r="A455" s="10" t="s">
        <v>888</v>
      </c>
      <c r="B455" s="11" t="s">
        <v>106</v>
      </c>
      <c r="C455" s="11" t="s">
        <v>25</v>
      </c>
      <c r="D455" s="11" t="s">
        <v>150</v>
      </c>
      <c r="E455" s="12">
        <v>15.5</v>
      </c>
      <c r="F455" s="12">
        <v>5</v>
      </c>
      <c r="G455" s="12">
        <v>77.5</v>
      </c>
      <c r="H455" s="11" t="s">
        <v>51</v>
      </c>
      <c r="I455" s="11" t="s">
        <v>16</v>
      </c>
      <c r="J455" s="15">
        <v>44655</v>
      </c>
      <c r="K455" s="11"/>
      <c r="L455" s="14" t="s">
        <v>32</v>
      </c>
    </row>
    <row r="456" spans="1:12" ht="15.75" thickBot="1" x14ac:dyDescent="0.3">
      <c r="A456" s="4" t="s">
        <v>889</v>
      </c>
      <c r="B456" s="5" t="s">
        <v>106</v>
      </c>
      <c r="C456" s="5" t="s">
        <v>20</v>
      </c>
      <c r="D456" s="5" t="s">
        <v>890</v>
      </c>
      <c r="E456" s="6">
        <v>30.5</v>
      </c>
      <c r="F456" s="6">
        <v>2</v>
      </c>
      <c r="G456" s="6">
        <v>61</v>
      </c>
      <c r="H456" s="5" t="s">
        <v>51</v>
      </c>
      <c r="I456" s="5" t="s">
        <v>16</v>
      </c>
      <c r="J456" s="6" t="s">
        <v>891</v>
      </c>
      <c r="K456" s="5"/>
      <c r="L456" s="9" t="s">
        <v>32</v>
      </c>
    </row>
    <row r="457" spans="1:12" ht="15.75" thickBot="1" x14ac:dyDescent="0.3">
      <c r="A457" s="10" t="s">
        <v>892</v>
      </c>
      <c r="B457" s="11" t="s">
        <v>60</v>
      </c>
      <c r="C457" s="11" t="s">
        <v>49</v>
      </c>
      <c r="D457" s="11" t="s">
        <v>736</v>
      </c>
      <c r="E457" s="12">
        <v>11</v>
      </c>
      <c r="F457" s="12">
        <v>7</v>
      </c>
      <c r="G457" s="12">
        <v>77</v>
      </c>
      <c r="H457" s="11" t="s">
        <v>51</v>
      </c>
      <c r="I457" s="11" t="s">
        <v>39</v>
      </c>
      <c r="J457" s="15">
        <v>45324</v>
      </c>
      <c r="K457" s="11"/>
      <c r="L457" s="14" t="s">
        <v>32</v>
      </c>
    </row>
    <row r="458" spans="1:12" ht="15.75" thickBot="1" x14ac:dyDescent="0.3">
      <c r="A458" s="4" t="s">
        <v>893</v>
      </c>
      <c r="B458" s="5" t="s">
        <v>12</v>
      </c>
      <c r="C458" s="5" t="s">
        <v>42</v>
      </c>
      <c r="D458" s="5" t="s">
        <v>103</v>
      </c>
      <c r="E458" s="6">
        <v>41</v>
      </c>
      <c r="F458" s="6">
        <v>3</v>
      </c>
      <c r="G458" s="6">
        <v>123</v>
      </c>
      <c r="H458" s="5" t="s">
        <v>27</v>
      </c>
      <c r="I458" s="5" t="s">
        <v>16</v>
      </c>
      <c r="J458" s="6" t="s">
        <v>691</v>
      </c>
      <c r="K458" s="8" t="b">
        <v>1</v>
      </c>
      <c r="L458" s="9" t="s">
        <v>35</v>
      </c>
    </row>
    <row r="459" spans="1:12" ht="45.75" thickBot="1" x14ac:dyDescent="0.3">
      <c r="A459" s="10" t="s">
        <v>894</v>
      </c>
      <c r="B459" s="11" t="s">
        <v>206</v>
      </c>
      <c r="C459" s="11" t="s">
        <v>158</v>
      </c>
      <c r="D459" s="11" t="s">
        <v>439</v>
      </c>
      <c r="E459" s="12">
        <v>20</v>
      </c>
      <c r="F459" s="12">
        <v>7</v>
      </c>
      <c r="G459" s="12">
        <v>140</v>
      </c>
      <c r="H459" s="11" t="s">
        <v>51</v>
      </c>
      <c r="I459" s="11" t="s">
        <v>39</v>
      </c>
      <c r="J459" s="15">
        <v>45057</v>
      </c>
      <c r="K459" s="13" t="b">
        <v>0</v>
      </c>
      <c r="L459" s="14" t="s">
        <v>35</v>
      </c>
    </row>
    <row r="460" spans="1:12" ht="15.75" thickBot="1" x14ac:dyDescent="0.3">
      <c r="A460" s="4" t="s">
        <v>895</v>
      </c>
      <c r="B460" s="5" t="s">
        <v>19</v>
      </c>
      <c r="C460" s="5" t="s">
        <v>13</v>
      </c>
      <c r="D460" s="5" t="s">
        <v>212</v>
      </c>
      <c r="E460" s="6">
        <v>5</v>
      </c>
      <c r="F460" s="6">
        <v>7</v>
      </c>
      <c r="G460" s="6">
        <v>35</v>
      </c>
      <c r="H460" s="5" t="s">
        <v>15</v>
      </c>
      <c r="I460" s="5" t="s">
        <v>16</v>
      </c>
      <c r="J460" s="7">
        <v>45419</v>
      </c>
      <c r="K460" s="8" t="b">
        <v>1</v>
      </c>
      <c r="L460" s="9" t="s">
        <v>32</v>
      </c>
    </row>
    <row r="461" spans="1:12" ht="15.75" thickBot="1" x14ac:dyDescent="0.3">
      <c r="A461" s="10" t="s">
        <v>896</v>
      </c>
      <c r="B461" s="11" t="s">
        <v>78</v>
      </c>
      <c r="C461" s="11" t="s">
        <v>30</v>
      </c>
      <c r="D461" s="11"/>
      <c r="E461" s="11"/>
      <c r="F461" s="12">
        <v>9</v>
      </c>
      <c r="G461" s="12">
        <v>193.5</v>
      </c>
      <c r="H461" s="11" t="s">
        <v>27</v>
      </c>
      <c r="I461" s="11" t="s">
        <v>39</v>
      </c>
      <c r="J461" s="12" t="s">
        <v>636</v>
      </c>
      <c r="K461" s="11"/>
      <c r="L461" s="14" t="s">
        <v>35</v>
      </c>
    </row>
    <row r="462" spans="1:12" ht="15.75" thickBot="1" x14ac:dyDescent="0.3">
      <c r="A462" s="4" t="s">
        <v>897</v>
      </c>
      <c r="B462" s="5" t="s">
        <v>48</v>
      </c>
      <c r="C462" s="5" t="s">
        <v>30</v>
      </c>
      <c r="D462" s="5"/>
      <c r="E462" s="5"/>
      <c r="F462" s="6">
        <v>8</v>
      </c>
      <c r="G462" s="6">
        <v>148</v>
      </c>
      <c r="H462" s="5" t="s">
        <v>27</v>
      </c>
      <c r="I462" s="5" t="s">
        <v>39</v>
      </c>
      <c r="J462" s="6" t="s">
        <v>427</v>
      </c>
      <c r="K462" s="5"/>
      <c r="L462" s="9" t="s">
        <v>35</v>
      </c>
    </row>
    <row r="463" spans="1:12" ht="15.75" thickBot="1" x14ac:dyDescent="0.3">
      <c r="A463" s="10" t="s">
        <v>898</v>
      </c>
      <c r="B463" s="11" t="s">
        <v>149</v>
      </c>
      <c r="C463" s="11" t="s">
        <v>25</v>
      </c>
      <c r="D463" s="11" t="s">
        <v>259</v>
      </c>
      <c r="E463" s="12">
        <v>24.5</v>
      </c>
      <c r="F463" s="12">
        <v>8</v>
      </c>
      <c r="G463" s="12">
        <v>196</v>
      </c>
      <c r="H463" s="11" t="s">
        <v>15</v>
      </c>
      <c r="I463" s="11" t="s">
        <v>39</v>
      </c>
      <c r="J463" s="15">
        <v>45265</v>
      </c>
      <c r="K463" s="11"/>
      <c r="L463" s="14" t="s">
        <v>35</v>
      </c>
    </row>
    <row r="464" spans="1:12" ht="15.75" thickBot="1" x14ac:dyDescent="0.3">
      <c r="A464" s="4" t="s">
        <v>899</v>
      </c>
      <c r="B464" s="5" t="s">
        <v>90</v>
      </c>
      <c r="C464" s="5" t="s">
        <v>30</v>
      </c>
      <c r="D464" s="5"/>
      <c r="E464" s="6">
        <v>11</v>
      </c>
      <c r="F464" s="5"/>
      <c r="G464" s="5"/>
      <c r="H464" s="5" t="s">
        <v>15</v>
      </c>
      <c r="I464" s="5" t="s">
        <v>16</v>
      </c>
      <c r="J464" s="6" t="s">
        <v>900</v>
      </c>
      <c r="K464" s="5"/>
      <c r="L464" s="9" t="s">
        <v>32</v>
      </c>
    </row>
    <row r="465" spans="1:12" ht="15.75" thickBot="1" x14ac:dyDescent="0.3">
      <c r="A465" s="10" t="s">
        <v>901</v>
      </c>
      <c r="B465" s="11" t="s">
        <v>44</v>
      </c>
      <c r="C465" s="11" t="s">
        <v>25</v>
      </c>
      <c r="D465" s="11" t="s">
        <v>215</v>
      </c>
      <c r="E465" s="12">
        <v>9.5</v>
      </c>
      <c r="F465" s="12">
        <v>4</v>
      </c>
      <c r="G465" s="12">
        <v>38</v>
      </c>
      <c r="H465" s="11" t="s">
        <v>15</v>
      </c>
      <c r="I465" s="11" t="s">
        <v>39</v>
      </c>
      <c r="J465" s="12" t="s">
        <v>902</v>
      </c>
      <c r="K465" s="11"/>
      <c r="L465" s="14" t="s">
        <v>32</v>
      </c>
    </row>
    <row r="466" spans="1:12" ht="15.75" thickBot="1" x14ac:dyDescent="0.3">
      <c r="A466" s="4" t="s">
        <v>903</v>
      </c>
      <c r="B466" s="5" t="s">
        <v>41</v>
      </c>
      <c r="C466" s="5" t="s">
        <v>13</v>
      </c>
      <c r="D466" s="5" t="s">
        <v>115</v>
      </c>
      <c r="E466" s="6">
        <v>12.5</v>
      </c>
      <c r="F466" s="6">
        <v>8</v>
      </c>
      <c r="G466" s="6">
        <v>100</v>
      </c>
      <c r="H466" s="5" t="s">
        <v>15</v>
      </c>
      <c r="I466" s="5" t="s">
        <v>39</v>
      </c>
      <c r="J466" s="7">
        <v>44684</v>
      </c>
      <c r="K466" s="8" t="b">
        <v>0</v>
      </c>
      <c r="L466" s="9" t="s">
        <v>32</v>
      </c>
    </row>
    <row r="467" spans="1:12" ht="15.75" thickBot="1" x14ac:dyDescent="0.3">
      <c r="A467" s="10" t="s">
        <v>904</v>
      </c>
      <c r="B467" s="11" t="s">
        <v>44</v>
      </c>
      <c r="C467" s="11" t="s">
        <v>42</v>
      </c>
      <c r="D467" s="11" t="s">
        <v>905</v>
      </c>
      <c r="E467" s="12">
        <v>12.5</v>
      </c>
      <c r="F467" s="12">
        <v>10</v>
      </c>
      <c r="G467" s="12">
        <v>125</v>
      </c>
      <c r="H467" s="11" t="s">
        <v>27</v>
      </c>
      <c r="I467" s="11" t="s">
        <v>39</v>
      </c>
      <c r="J467" s="12" t="s">
        <v>906</v>
      </c>
      <c r="K467" s="13" t="b">
        <v>1</v>
      </c>
      <c r="L467" s="14" t="s">
        <v>35</v>
      </c>
    </row>
    <row r="468" spans="1:12" ht="15.75" thickBot="1" x14ac:dyDescent="0.3">
      <c r="A468" s="4" t="s">
        <v>907</v>
      </c>
      <c r="B468" s="5" t="s">
        <v>90</v>
      </c>
      <c r="C468" s="5" t="s">
        <v>25</v>
      </c>
      <c r="D468" s="5" t="s">
        <v>908</v>
      </c>
      <c r="E468" s="6">
        <v>39.5</v>
      </c>
      <c r="F468" s="6">
        <v>6</v>
      </c>
      <c r="G468" s="6">
        <v>237</v>
      </c>
      <c r="H468" s="5" t="s">
        <v>27</v>
      </c>
      <c r="I468" s="5" t="s">
        <v>16</v>
      </c>
      <c r="J468" s="6" t="s">
        <v>909</v>
      </c>
      <c r="K468" s="8" t="b">
        <v>0</v>
      </c>
      <c r="L468" s="9" t="s">
        <v>17</v>
      </c>
    </row>
    <row r="469" spans="1:12" ht="45.75" thickBot="1" x14ac:dyDescent="0.3">
      <c r="A469" s="10" t="s">
        <v>910</v>
      </c>
      <c r="B469" s="11" t="s">
        <v>29</v>
      </c>
      <c r="C469" s="11" t="s">
        <v>158</v>
      </c>
      <c r="D469" s="11" t="s">
        <v>379</v>
      </c>
      <c r="E469" s="12">
        <v>12.5</v>
      </c>
      <c r="F469" s="12">
        <v>1</v>
      </c>
      <c r="G469" s="12">
        <v>12.5</v>
      </c>
      <c r="H469" s="11" t="s">
        <v>15</v>
      </c>
      <c r="I469" s="11" t="s">
        <v>16</v>
      </c>
      <c r="J469" s="12" t="s">
        <v>911</v>
      </c>
      <c r="K469" s="13" t="b">
        <v>0</v>
      </c>
      <c r="L469" s="14" t="s">
        <v>32</v>
      </c>
    </row>
    <row r="470" spans="1:12" ht="45.75" thickBot="1" x14ac:dyDescent="0.3">
      <c r="A470" s="4" t="s">
        <v>912</v>
      </c>
      <c r="B470" s="5" t="s">
        <v>140</v>
      </c>
      <c r="C470" s="5" t="s">
        <v>158</v>
      </c>
      <c r="D470" s="5" t="s">
        <v>306</v>
      </c>
      <c r="E470" s="6">
        <v>35</v>
      </c>
      <c r="F470" s="6">
        <v>6</v>
      </c>
      <c r="G470" s="6">
        <v>210</v>
      </c>
      <c r="H470" s="5" t="s">
        <v>51</v>
      </c>
      <c r="I470" s="5" t="s">
        <v>16</v>
      </c>
      <c r="J470" s="7">
        <v>45545</v>
      </c>
      <c r="K470" s="5"/>
      <c r="L470" s="9" t="s">
        <v>17</v>
      </c>
    </row>
    <row r="471" spans="1:12" ht="15.75" thickBot="1" x14ac:dyDescent="0.3">
      <c r="A471" s="10" t="s">
        <v>913</v>
      </c>
      <c r="B471" s="11" t="s">
        <v>41</v>
      </c>
      <c r="C471" s="11" t="s">
        <v>20</v>
      </c>
      <c r="D471" s="11" t="s">
        <v>890</v>
      </c>
      <c r="E471" s="12">
        <v>30.5</v>
      </c>
      <c r="F471" s="12">
        <v>3</v>
      </c>
      <c r="G471" s="12">
        <v>91.5</v>
      </c>
      <c r="H471" s="11" t="s">
        <v>51</v>
      </c>
      <c r="I471" s="11" t="s">
        <v>16</v>
      </c>
      <c r="J471" s="12" t="s">
        <v>914</v>
      </c>
      <c r="K471" s="13" t="b">
        <v>1</v>
      </c>
      <c r="L471" s="14" t="s">
        <v>32</v>
      </c>
    </row>
    <row r="472" spans="1:12" ht="45.75" thickBot="1" x14ac:dyDescent="0.3">
      <c r="A472" s="4" t="s">
        <v>915</v>
      </c>
      <c r="B472" s="5" t="s">
        <v>99</v>
      </c>
      <c r="C472" s="5" t="s">
        <v>75</v>
      </c>
      <c r="D472" s="5" t="s">
        <v>456</v>
      </c>
      <c r="E472" s="6">
        <v>27.5</v>
      </c>
      <c r="F472" s="6">
        <v>5</v>
      </c>
      <c r="G472" s="6">
        <v>137.5</v>
      </c>
      <c r="H472" s="5" t="s">
        <v>15</v>
      </c>
      <c r="I472" s="5" t="s">
        <v>39</v>
      </c>
      <c r="J472" s="6" t="s">
        <v>916</v>
      </c>
      <c r="K472" s="8" t="b">
        <v>1</v>
      </c>
      <c r="L472" s="9" t="s">
        <v>35</v>
      </c>
    </row>
    <row r="473" spans="1:12" ht="15.75" thickBot="1" x14ac:dyDescent="0.3">
      <c r="A473" s="10" t="s">
        <v>917</v>
      </c>
      <c r="B473" s="11" t="s">
        <v>130</v>
      </c>
      <c r="C473" s="11" t="s">
        <v>20</v>
      </c>
      <c r="D473" s="11"/>
      <c r="E473" s="11"/>
      <c r="F473" s="12">
        <v>10</v>
      </c>
      <c r="G473" s="12">
        <v>95</v>
      </c>
      <c r="H473" s="11" t="s">
        <v>15</v>
      </c>
      <c r="I473" s="11" t="s">
        <v>16</v>
      </c>
      <c r="J473" s="15">
        <v>45385</v>
      </c>
      <c r="K473" s="13" t="b">
        <v>1</v>
      </c>
      <c r="L473" s="14" t="s">
        <v>32</v>
      </c>
    </row>
    <row r="474" spans="1:12" ht="15.75" thickBot="1" x14ac:dyDescent="0.3">
      <c r="A474" s="4" t="s">
        <v>918</v>
      </c>
      <c r="B474" s="5" t="s">
        <v>136</v>
      </c>
      <c r="C474" s="5" t="s">
        <v>20</v>
      </c>
      <c r="D474" s="5" t="s">
        <v>919</v>
      </c>
      <c r="E474" s="6">
        <v>24.5</v>
      </c>
      <c r="F474" s="6">
        <v>10</v>
      </c>
      <c r="G474" s="6">
        <v>245</v>
      </c>
      <c r="H474" s="5" t="s">
        <v>27</v>
      </c>
      <c r="I474" s="5" t="s">
        <v>16</v>
      </c>
      <c r="J474" s="6" t="s">
        <v>920</v>
      </c>
      <c r="K474" s="8" t="b">
        <v>1</v>
      </c>
      <c r="L474" s="9" t="s">
        <v>17</v>
      </c>
    </row>
    <row r="475" spans="1:12" ht="15.75" thickBot="1" x14ac:dyDescent="0.3">
      <c r="A475" s="10" t="s">
        <v>921</v>
      </c>
      <c r="B475" s="11" t="s">
        <v>99</v>
      </c>
      <c r="C475" s="11" t="s">
        <v>30</v>
      </c>
      <c r="D475" s="11" t="s">
        <v>537</v>
      </c>
      <c r="E475" s="12">
        <v>11</v>
      </c>
      <c r="F475" s="12">
        <v>10</v>
      </c>
      <c r="G475" s="12">
        <v>110</v>
      </c>
      <c r="H475" s="11" t="s">
        <v>27</v>
      </c>
      <c r="I475" s="11" t="s">
        <v>39</v>
      </c>
      <c r="J475" s="12" t="s">
        <v>343</v>
      </c>
      <c r="K475" s="11"/>
      <c r="L475" s="14" t="s">
        <v>35</v>
      </c>
    </row>
    <row r="476" spans="1:12" ht="15.75" thickBot="1" x14ac:dyDescent="0.3">
      <c r="A476" s="4" t="s">
        <v>922</v>
      </c>
      <c r="B476" s="5" t="s">
        <v>149</v>
      </c>
      <c r="C476" s="5" t="s">
        <v>42</v>
      </c>
      <c r="D476" s="5" t="s">
        <v>239</v>
      </c>
      <c r="E476" s="6">
        <v>20</v>
      </c>
      <c r="F476" s="6">
        <v>3</v>
      </c>
      <c r="G476" s="6">
        <v>60</v>
      </c>
      <c r="H476" s="5" t="s">
        <v>15</v>
      </c>
      <c r="I476" s="5" t="s">
        <v>16</v>
      </c>
      <c r="J476" s="6" t="s">
        <v>242</v>
      </c>
      <c r="K476" s="8" t="b">
        <v>0</v>
      </c>
      <c r="L476" s="9" t="s">
        <v>32</v>
      </c>
    </row>
    <row r="477" spans="1:12" ht="15.75" thickBot="1" x14ac:dyDescent="0.3">
      <c r="A477" s="10" t="s">
        <v>923</v>
      </c>
      <c r="B477" s="11" t="s">
        <v>86</v>
      </c>
      <c r="C477" s="11" t="s">
        <v>13</v>
      </c>
      <c r="D477" s="11" t="s">
        <v>667</v>
      </c>
      <c r="E477" s="12">
        <v>33.5</v>
      </c>
      <c r="F477" s="12">
        <v>4</v>
      </c>
      <c r="G477" s="12">
        <v>134</v>
      </c>
      <c r="H477" s="11" t="s">
        <v>51</v>
      </c>
      <c r="I477" s="11" t="s">
        <v>16</v>
      </c>
      <c r="J477" s="15">
        <v>44930</v>
      </c>
      <c r="K477" s="13" t="b">
        <v>0</v>
      </c>
      <c r="L477" s="14" t="s">
        <v>35</v>
      </c>
    </row>
    <row r="478" spans="1:12" ht="45.75" thickBot="1" x14ac:dyDescent="0.3">
      <c r="A478" s="4" t="s">
        <v>924</v>
      </c>
      <c r="B478" s="5" t="s">
        <v>12</v>
      </c>
      <c r="C478" s="5" t="s">
        <v>75</v>
      </c>
      <c r="D478" s="5" t="s">
        <v>481</v>
      </c>
      <c r="E478" s="6">
        <v>36.5</v>
      </c>
      <c r="F478" s="6">
        <v>6</v>
      </c>
      <c r="G478" s="6">
        <v>219</v>
      </c>
      <c r="H478" s="5" t="s">
        <v>51</v>
      </c>
      <c r="I478" s="5" t="s">
        <v>39</v>
      </c>
      <c r="J478" s="7">
        <v>45112</v>
      </c>
      <c r="K478" s="8" t="b">
        <v>0</v>
      </c>
      <c r="L478" s="9" t="s">
        <v>17</v>
      </c>
    </row>
    <row r="479" spans="1:12" ht="15.75" thickBot="1" x14ac:dyDescent="0.3">
      <c r="A479" s="10" t="s">
        <v>925</v>
      </c>
      <c r="B479" s="11" t="s">
        <v>106</v>
      </c>
      <c r="C479" s="11" t="s">
        <v>25</v>
      </c>
      <c r="D479" s="11" t="s">
        <v>330</v>
      </c>
      <c r="E479" s="12">
        <v>33.5</v>
      </c>
      <c r="F479" s="12">
        <v>1</v>
      </c>
      <c r="G479" s="12">
        <v>33.5</v>
      </c>
      <c r="H479" s="11" t="s">
        <v>27</v>
      </c>
      <c r="I479" s="11" t="s">
        <v>39</v>
      </c>
      <c r="J479" s="12" t="s">
        <v>926</v>
      </c>
      <c r="K479" s="13" t="b">
        <v>1</v>
      </c>
      <c r="L479" s="14" t="s">
        <v>32</v>
      </c>
    </row>
    <row r="480" spans="1:12" ht="15.75" thickBot="1" x14ac:dyDescent="0.3">
      <c r="A480" s="4" t="s">
        <v>927</v>
      </c>
      <c r="B480" s="5" t="s">
        <v>90</v>
      </c>
      <c r="C480" s="5" t="s">
        <v>30</v>
      </c>
      <c r="D480" s="5" t="s">
        <v>31</v>
      </c>
      <c r="E480" s="6">
        <v>12.5</v>
      </c>
      <c r="F480" s="6">
        <v>2</v>
      </c>
      <c r="G480" s="6">
        <v>25</v>
      </c>
      <c r="H480" s="5" t="s">
        <v>15</v>
      </c>
      <c r="I480" s="5" t="s">
        <v>39</v>
      </c>
      <c r="J480" s="7">
        <v>44721</v>
      </c>
      <c r="K480" s="8" t="b">
        <v>0</v>
      </c>
      <c r="L480" s="9" t="s">
        <v>32</v>
      </c>
    </row>
    <row r="481" spans="1:12" ht="45.75" thickBot="1" x14ac:dyDescent="0.3">
      <c r="A481" s="10" t="s">
        <v>928</v>
      </c>
      <c r="B481" s="11" t="s">
        <v>19</v>
      </c>
      <c r="C481" s="11" t="s">
        <v>75</v>
      </c>
      <c r="D481" s="11" t="s">
        <v>121</v>
      </c>
      <c r="E481" s="12">
        <v>35</v>
      </c>
      <c r="F481" s="12">
        <v>9</v>
      </c>
      <c r="G481" s="12">
        <v>315</v>
      </c>
      <c r="H481" s="11" t="s">
        <v>51</v>
      </c>
      <c r="I481" s="11" t="s">
        <v>16</v>
      </c>
      <c r="J481" s="15">
        <v>44901</v>
      </c>
      <c r="K481" s="13" t="b">
        <v>0</v>
      </c>
      <c r="L481" s="14" t="s">
        <v>17</v>
      </c>
    </row>
    <row r="482" spans="1:12" ht="15.75" thickBot="1" x14ac:dyDescent="0.3">
      <c r="A482" s="4" t="s">
        <v>929</v>
      </c>
      <c r="B482" s="5" t="s">
        <v>12</v>
      </c>
      <c r="C482" s="5" t="s">
        <v>42</v>
      </c>
      <c r="D482" s="5" t="s">
        <v>296</v>
      </c>
      <c r="E482" s="6">
        <v>11</v>
      </c>
      <c r="F482" s="6">
        <v>4</v>
      </c>
      <c r="G482" s="6">
        <v>44</v>
      </c>
      <c r="H482" s="5" t="s">
        <v>27</v>
      </c>
      <c r="I482" s="5" t="s">
        <v>39</v>
      </c>
      <c r="J482" s="6" t="s">
        <v>52</v>
      </c>
      <c r="K482" s="8" t="b">
        <v>1</v>
      </c>
      <c r="L482" s="9" t="s">
        <v>32</v>
      </c>
    </row>
    <row r="483" spans="1:12" ht="15.75" thickBot="1" x14ac:dyDescent="0.3">
      <c r="A483" s="10" t="s">
        <v>930</v>
      </c>
      <c r="B483" s="11" t="s">
        <v>94</v>
      </c>
      <c r="C483" s="11" t="s">
        <v>13</v>
      </c>
      <c r="D483" s="11" t="s">
        <v>675</v>
      </c>
      <c r="E483" s="12">
        <v>17</v>
      </c>
      <c r="F483" s="12">
        <v>8</v>
      </c>
      <c r="G483" s="12">
        <v>136</v>
      </c>
      <c r="H483" s="11" t="s">
        <v>15</v>
      </c>
      <c r="I483" s="11" t="s">
        <v>39</v>
      </c>
      <c r="J483" s="15">
        <v>44663</v>
      </c>
      <c r="K483" s="13" t="b">
        <v>0</v>
      </c>
      <c r="L483" s="14" t="s">
        <v>35</v>
      </c>
    </row>
    <row r="484" spans="1:12" ht="15.75" thickBot="1" x14ac:dyDescent="0.3">
      <c r="A484" s="4" t="s">
        <v>931</v>
      </c>
      <c r="B484" s="5" t="s">
        <v>71</v>
      </c>
      <c r="C484" s="5" t="s">
        <v>20</v>
      </c>
      <c r="D484" s="5" t="s">
        <v>739</v>
      </c>
      <c r="E484" s="6">
        <v>36.5</v>
      </c>
      <c r="F484" s="6">
        <v>8</v>
      </c>
      <c r="G484" s="6">
        <v>292</v>
      </c>
      <c r="H484" s="5" t="s">
        <v>27</v>
      </c>
      <c r="I484" s="5" t="s">
        <v>16</v>
      </c>
      <c r="J484" s="7">
        <v>45057</v>
      </c>
      <c r="K484" s="5"/>
      <c r="L484" s="9" t="s">
        <v>17</v>
      </c>
    </row>
    <row r="485" spans="1:12" ht="15.75" thickBot="1" x14ac:dyDescent="0.3">
      <c r="A485" s="10" t="s">
        <v>932</v>
      </c>
      <c r="B485" s="11" t="s">
        <v>19</v>
      </c>
      <c r="C485" s="11" t="s">
        <v>30</v>
      </c>
      <c r="D485" s="11" t="s">
        <v>660</v>
      </c>
      <c r="E485" s="12">
        <v>29</v>
      </c>
      <c r="F485" s="12">
        <v>1</v>
      </c>
      <c r="G485" s="12">
        <v>29</v>
      </c>
      <c r="H485" s="11" t="s">
        <v>51</v>
      </c>
      <c r="I485" s="11" t="s">
        <v>16</v>
      </c>
      <c r="J485" s="15">
        <v>45572</v>
      </c>
      <c r="K485" s="13" t="b">
        <v>0</v>
      </c>
      <c r="L485" s="14" t="s">
        <v>32</v>
      </c>
    </row>
    <row r="486" spans="1:12" ht="45.75" thickBot="1" x14ac:dyDescent="0.3">
      <c r="A486" s="4" t="s">
        <v>933</v>
      </c>
      <c r="B486" s="5" t="s">
        <v>29</v>
      </c>
      <c r="C486" s="5" t="s">
        <v>75</v>
      </c>
      <c r="D486" s="5" t="s">
        <v>459</v>
      </c>
      <c r="E486" s="6">
        <v>38</v>
      </c>
      <c r="F486" s="6">
        <v>10</v>
      </c>
      <c r="G486" s="6">
        <v>380</v>
      </c>
      <c r="H486" s="5" t="s">
        <v>15</v>
      </c>
      <c r="I486" s="5" t="s">
        <v>39</v>
      </c>
      <c r="J486" s="6" t="s">
        <v>513</v>
      </c>
      <c r="K486" s="8" t="b">
        <v>0</v>
      </c>
      <c r="L486" s="9" t="s">
        <v>17</v>
      </c>
    </row>
    <row r="487" spans="1:12" ht="15.75" thickBot="1" x14ac:dyDescent="0.3">
      <c r="A487" s="10" t="s">
        <v>934</v>
      </c>
      <c r="B487" s="11" t="s">
        <v>41</v>
      </c>
      <c r="C487" s="11" t="s">
        <v>42</v>
      </c>
      <c r="D487" s="11" t="s">
        <v>381</v>
      </c>
      <c r="E487" s="12">
        <v>6.5</v>
      </c>
      <c r="F487" s="12">
        <v>9</v>
      </c>
      <c r="G487" s="12">
        <v>58.5</v>
      </c>
      <c r="H487" s="11" t="s">
        <v>15</v>
      </c>
      <c r="I487" s="11" t="s">
        <v>16</v>
      </c>
      <c r="J487" s="15">
        <v>45267</v>
      </c>
      <c r="K487" s="13" t="b">
        <v>0</v>
      </c>
      <c r="L487" s="14" t="s">
        <v>32</v>
      </c>
    </row>
    <row r="488" spans="1:12" ht="45.75" thickBot="1" x14ac:dyDescent="0.3">
      <c r="A488" s="4" t="s">
        <v>935</v>
      </c>
      <c r="B488" s="5" t="s">
        <v>29</v>
      </c>
      <c r="C488" s="5" t="s">
        <v>75</v>
      </c>
      <c r="D488" s="5" t="s">
        <v>416</v>
      </c>
      <c r="E488" s="6">
        <v>32</v>
      </c>
      <c r="F488" s="6">
        <v>2</v>
      </c>
      <c r="G488" s="6">
        <v>64</v>
      </c>
      <c r="H488" s="5" t="s">
        <v>51</v>
      </c>
      <c r="I488" s="5" t="s">
        <v>39</v>
      </c>
      <c r="J488" s="7">
        <v>45140</v>
      </c>
      <c r="K488" s="8" t="b">
        <v>1</v>
      </c>
      <c r="L488" s="9" t="s">
        <v>32</v>
      </c>
    </row>
    <row r="489" spans="1:12" ht="15.75" thickBot="1" x14ac:dyDescent="0.3">
      <c r="A489" s="10" t="s">
        <v>936</v>
      </c>
      <c r="B489" s="11" t="s">
        <v>86</v>
      </c>
      <c r="C489" s="11" t="s">
        <v>20</v>
      </c>
      <c r="D489" s="11" t="s">
        <v>21</v>
      </c>
      <c r="E489" s="12">
        <v>29</v>
      </c>
      <c r="F489" s="12">
        <v>5</v>
      </c>
      <c r="G489" s="12">
        <v>145</v>
      </c>
      <c r="H489" s="11" t="s">
        <v>51</v>
      </c>
      <c r="I489" s="11" t="s">
        <v>39</v>
      </c>
      <c r="J489" s="12" t="s">
        <v>937</v>
      </c>
      <c r="K489" s="13" t="b">
        <v>0</v>
      </c>
      <c r="L489" s="14" t="s">
        <v>35</v>
      </c>
    </row>
    <row r="490" spans="1:12" ht="15.75" thickBot="1" x14ac:dyDescent="0.3">
      <c r="A490" s="4" t="s">
        <v>938</v>
      </c>
      <c r="B490" s="5" t="s">
        <v>206</v>
      </c>
      <c r="C490" s="5" t="s">
        <v>30</v>
      </c>
      <c r="D490" s="5" t="s">
        <v>476</v>
      </c>
      <c r="E490" s="6">
        <v>41</v>
      </c>
      <c r="F490" s="6">
        <v>3</v>
      </c>
      <c r="G490" s="6">
        <v>123</v>
      </c>
      <c r="H490" s="5" t="s">
        <v>51</v>
      </c>
      <c r="I490" s="5" t="s">
        <v>16</v>
      </c>
      <c r="J490" s="6" t="s">
        <v>939</v>
      </c>
      <c r="K490" s="8" t="b">
        <v>1</v>
      </c>
      <c r="L490" s="9" t="s">
        <v>35</v>
      </c>
    </row>
    <row r="491" spans="1:12" ht="45.75" thickBot="1" x14ac:dyDescent="0.3">
      <c r="A491" s="10" t="s">
        <v>940</v>
      </c>
      <c r="B491" s="11" t="s">
        <v>206</v>
      </c>
      <c r="C491" s="11" t="s">
        <v>158</v>
      </c>
      <c r="D491" s="11" t="s">
        <v>379</v>
      </c>
      <c r="E491" s="12">
        <v>12.5</v>
      </c>
      <c r="F491" s="12">
        <v>5</v>
      </c>
      <c r="G491" s="12">
        <v>62.5</v>
      </c>
      <c r="H491" s="11" t="s">
        <v>27</v>
      </c>
      <c r="I491" s="11" t="s">
        <v>16</v>
      </c>
      <c r="J491" s="12" t="s">
        <v>772</v>
      </c>
      <c r="K491" s="13" t="b">
        <v>1</v>
      </c>
      <c r="L491" s="14" t="s">
        <v>32</v>
      </c>
    </row>
    <row r="492" spans="1:12" ht="15.75" thickBot="1" x14ac:dyDescent="0.3">
      <c r="A492" s="4" t="s">
        <v>941</v>
      </c>
      <c r="B492" s="5" t="s">
        <v>206</v>
      </c>
      <c r="C492" s="5" t="s">
        <v>42</v>
      </c>
      <c r="D492" s="5" t="s">
        <v>381</v>
      </c>
      <c r="E492" s="6">
        <v>6.5</v>
      </c>
      <c r="F492" s="6">
        <v>1</v>
      </c>
      <c r="G492" s="6">
        <v>6.5</v>
      </c>
      <c r="H492" s="5" t="s">
        <v>51</v>
      </c>
      <c r="I492" s="5" t="s">
        <v>16</v>
      </c>
      <c r="J492" s="7">
        <v>44992</v>
      </c>
      <c r="K492" s="5"/>
      <c r="L492" s="9" t="s">
        <v>32</v>
      </c>
    </row>
    <row r="493" spans="1:12" ht="15.75" thickBot="1" x14ac:dyDescent="0.3">
      <c r="A493" s="10" t="s">
        <v>942</v>
      </c>
      <c r="B493" s="11" t="s">
        <v>44</v>
      </c>
      <c r="C493" s="11" t="s">
        <v>30</v>
      </c>
      <c r="D493" s="11" t="s">
        <v>197</v>
      </c>
      <c r="E493" s="12">
        <v>36.5</v>
      </c>
      <c r="F493" s="12">
        <v>1</v>
      </c>
      <c r="G493" s="12">
        <v>36.5</v>
      </c>
      <c r="H493" s="11" t="s">
        <v>51</v>
      </c>
      <c r="I493" s="11" t="s">
        <v>16</v>
      </c>
      <c r="J493" s="12" t="s">
        <v>943</v>
      </c>
      <c r="K493" s="13" t="b">
        <v>1</v>
      </c>
      <c r="L493" s="14" t="s">
        <v>32</v>
      </c>
    </row>
    <row r="494" spans="1:12" ht="15.75" thickBot="1" x14ac:dyDescent="0.3">
      <c r="A494" s="4" t="s">
        <v>944</v>
      </c>
      <c r="B494" s="5" t="s">
        <v>37</v>
      </c>
      <c r="C494" s="5" t="s">
        <v>42</v>
      </c>
      <c r="D494" s="5"/>
      <c r="E494" s="6">
        <v>33.5</v>
      </c>
      <c r="F494" s="5"/>
      <c r="G494" s="5"/>
      <c r="H494" s="5" t="s">
        <v>15</v>
      </c>
      <c r="I494" s="5" t="s">
        <v>39</v>
      </c>
      <c r="J494" s="6" t="s">
        <v>945</v>
      </c>
      <c r="K494" s="5"/>
      <c r="L494" s="9" t="s">
        <v>32</v>
      </c>
    </row>
    <row r="495" spans="1:12" ht="15.75" thickBot="1" x14ac:dyDescent="0.3">
      <c r="A495" s="10" t="s">
        <v>946</v>
      </c>
      <c r="B495" s="11" t="s">
        <v>140</v>
      </c>
      <c r="C495" s="11" t="s">
        <v>13</v>
      </c>
      <c r="D495" s="11" t="s">
        <v>203</v>
      </c>
      <c r="E495" s="12">
        <v>21.5</v>
      </c>
      <c r="F495" s="12">
        <v>5</v>
      </c>
      <c r="G495" s="12">
        <v>107.5</v>
      </c>
      <c r="H495" s="11" t="s">
        <v>15</v>
      </c>
      <c r="I495" s="11" t="s">
        <v>16</v>
      </c>
      <c r="J495" s="12" t="s">
        <v>524</v>
      </c>
      <c r="K495" s="13" t="b">
        <v>1</v>
      </c>
      <c r="L495" s="14" t="s">
        <v>35</v>
      </c>
    </row>
    <row r="496" spans="1:12" ht="15.75" thickBot="1" x14ac:dyDescent="0.3">
      <c r="A496" s="4" t="s">
        <v>947</v>
      </c>
      <c r="B496" s="5" t="s">
        <v>120</v>
      </c>
      <c r="C496" s="5" t="s">
        <v>25</v>
      </c>
      <c r="D496" s="5" t="s">
        <v>345</v>
      </c>
      <c r="E496" s="6">
        <v>12.5</v>
      </c>
      <c r="F496" s="6">
        <v>8</v>
      </c>
      <c r="G496" s="6">
        <v>100</v>
      </c>
      <c r="H496" s="5" t="s">
        <v>27</v>
      </c>
      <c r="I496" s="5" t="s">
        <v>16</v>
      </c>
      <c r="J496" s="7">
        <v>45385</v>
      </c>
      <c r="K496" s="8" t="b">
        <v>0</v>
      </c>
      <c r="L496" s="9" t="s">
        <v>32</v>
      </c>
    </row>
    <row r="497" spans="1:12" ht="45.75" thickBot="1" x14ac:dyDescent="0.3">
      <c r="A497" s="10" t="s">
        <v>948</v>
      </c>
      <c r="B497" s="11" t="s">
        <v>106</v>
      </c>
      <c r="C497" s="11" t="s">
        <v>158</v>
      </c>
      <c r="D497" s="11" t="s">
        <v>439</v>
      </c>
      <c r="E497" s="12">
        <v>20</v>
      </c>
      <c r="F497" s="12">
        <v>4</v>
      </c>
      <c r="G497" s="12">
        <v>80</v>
      </c>
      <c r="H497" s="11" t="s">
        <v>27</v>
      </c>
      <c r="I497" s="11" t="s">
        <v>16</v>
      </c>
      <c r="J497" s="15">
        <v>44961</v>
      </c>
      <c r="K497" s="13" t="b">
        <v>0</v>
      </c>
      <c r="L497" s="14" t="s">
        <v>32</v>
      </c>
    </row>
    <row r="498" spans="1:12" ht="15.75" thickBot="1" x14ac:dyDescent="0.3">
      <c r="A498" s="4" t="s">
        <v>949</v>
      </c>
      <c r="B498" s="5" t="s">
        <v>106</v>
      </c>
      <c r="C498" s="5" t="s">
        <v>20</v>
      </c>
      <c r="D498" s="5" t="s">
        <v>348</v>
      </c>
      <c r="E498" s="6">
        <v>5</v>
      </c>
      <c r="F498" s="6">
        <v>6</v>
      </c>
      <c r="G498" s="6">
        <v>30</v>
      </c>
      <c r="H498" s="5" t="s">
        <v>27</v>
      </c>
      <c r="I498" s="5" t="s">
        <v>16</v>
      </c>
      <c r="J498" s="6" t="s">
        <v>429</v>
      </c>
      <c r="K498" s="8" t="b">
        <v>1</v>
      </c>
      <c r="L498" s="9" t="s">
        <v>32</v>
      </c>
    </row>
    <row r="499" spans="1:12" ht="15.75" thickBot="1" x14ac:dyDescent="0.3">
      <c r="A499" s="10" t="s">
        <v>950</v>
      </c>
      <c r="B499" s="11" t="s">
        <v>74</v>
      </c>
      <c r="C499" s="11" t="s">
        <v>42</v>
      </c>
      <c r="D499" s="11" t="s">
        <v>951</v>
      </c>
      <c r="E499" s="12">
        <v>21.5</v>
      </c>
      <c r="F499" s="12">
        <v>8</v>
      </c>
      <c r="G499" s="12">
        <v>172</v>
      </c>
      <c r="H499" s="11" t="s">
        <v>51</v>
      </c>
      <c r="I499" s="11" t="s">
        <v>16</v>
      </c>
      <c r="J499" s="15">
        <v>45575</v>
      </c>
      <c r="K499" s="13" t="b">
        <v>1</v>
      </c>
      <c r="L499" s="14" t="s">
        <v>35</v>
      </c>
    </row>
    <row r="500" spans="1:12" ht="15.75" thickBot="1" x14ac:dyDescent="0.3">
      <c r="A500" s="4" t="s">
        <v>952</v>
      </c>
      <c r="B500" s="5" t="s">
        <v>48</v>
      </c>
      <c r="C500" s="5" t="s">
        <v>30</v>
      </c>
      <c r="D500" s="5" t="s">
        <v>640</v>
      </c>
      <c r="E500" s="6">
        <v>23</v>
      </c>
      <c r="F500" s="6">
        <v>2</v>
      </c>
      <c r="G500" s="6">
        <v>46</v>
      </c>
      <c r="H500" s="5" t="s">
        <v>15</v>
      </c>
      <c r="I500" s="5" t="s">
        <v>39</v>
      </c>
      <c r="J500" s="6" t="s">
        <v>953</v>
      </c>
      <c r="K500" s="8" t="b">
        <v>0</v>
      </c>
      <c r="L500" s="9" t="s">
        <v>32</v>
      </c>
    </row>
    <row r="501" spans="1:12" ht="15.75" thickBot="1" x14ac:dyDescent="0.3">
      <c r="A501" s="10" t="s">
        <v>954</v>
      </c>
      <c r="B501" s="11" t="s">
        <v>41</v>
      </c>
      <c r="C501" s="11" t="s">
        <v>49</v>
      </c>
      <c r="D501" s="11" t="s">
        <v>736</v>
      </c>
      <c r="E501" s="12">
        <v>11</v>
      </c>
      <c r="F501" s="12">
        <v>5</v>
      </c>
      <c r="G501" s="12">
        <v>55</v>
      </c>
      <c r="H501" s="11" t="s">
        <v>15</v>
      </c>
      <c r="I501" s="11" t="s">
        <v>39</v>
      </c>
      <c r="J501" s="12" t="s">
        <v>955</v>
      </c>
      <c r="K501" s="13" t="b">
        <v>1</v>
      </c>
      <c r="L501" s="14" t="s">
        <v>32</v>
      </c>
    </row>
    <row r="502" spans="1:12" ht="15.75" thickBot="1" x14ac:dyDescent="0.3">
      <c r="A502" s="4" t="s">
        <v>956</v>
      </c>
      <c r="B502" s="5" t="s">
        <v>19</v>
      </c>
      <c r="C502" s="5" t="s">
        <v>20</v>
      </c>
      <c r="D502" s="5"/>
      <c r="E502" s="5"/>
      <c r="F502" s="6">
        <v>2</v>
      </c>
      <c r="G502" s="6">
        <v>61</v>
      </c>
      <c r="H502" s="5" t="s">
        <v>15</v>
      </c>
      <c r="I502" s="5" t="s">
        <v>16</v>
      </c>
      <c r="J502" s="6" t="s">
        <v>957</v>
      </c>
      <c r="K502" s="8" t="b">
        <v>0</v>
      </c>
      <c r="L502" s="9" t="s">
        <v>32</v>
      </c>
    </row>
    <row r="503" spans="1:12" ht="15.75" thickBot="1" x14ac:dyDescent="0.3">
      <c r="A503" s="10" t="s">
        <v>958</v>
      </c>
      <c r="B503" s="11" t="s">
        <v>44</v>
      </c>
      <c r="C503" s="11" t="s">
        <v>13</v>
      </c>
      <c r="D503" s="11" t="s">
        <v>785</v>
      </c>
      <c r="E503" s="12">
        <v>6.5</v>
      </c>
      <c r="F503" s="12">
        <v>10</v>
      </c>
      <c r="G503" s="12">
        <v>65</v>
      </c>
      <c r="H503" s="11" t="s">
        <v>27</v>
      </c>
      <c r="I503" s="11" t="s">
        <v>16</v>
      </c>
      <c r="J503" s="12" t="s">
        <v>959</v>
      </c>
      <c r="K503" s="11"/>
      <c r="L503" s="14" t="s">
        <v>32</v>
      </c>
    </row>
    <row r="504" spans="1:12" ht="15.75" thickBot="1" x14ac:dyDescent="0.3">
      <c r="A504" s="4" t="s">
        <v>960</v>
      </c>
      <c r="B504" s="5" t="s">
        <v>120</v>
      </c>
      <c r="C504" s="5" t="s">
        <v>25</v>
      </c>
      <c r="D504" s="5" t="s">
        <v>26</v>
      </c>
      <c r="E504" s="6">
        <v>27.5</v>
      </c>
      <c r="F504" s="6">
        <v>2</v>
      </c>
      <c r="G504" s="6">
        <v>55</v>
      </c>
      <c r="H504" s="5" t="s">
        <v>27</v>
      </c>
      <c r="I504" s="5" t="s">
        <v>39</v>
      </c>
      <c r="J504" s="7">
        <v>44935</v>
      </c>
      <c r="K504" s="8" t="b">
        <v>1</v>
      </c>
      <c r="L504" s="9" t="s">
        <v>32</v>
      </c>
    </row>
    <row r="505" spans="1:12" ht="15.75" thickBot="1" x14ac:dyDescent="0.3">
      <c r="A505" s="10" t="s">
        <v>961</v>
      </c>
      <c r="B505" s="11" t="s">
        <v>99</v>
      </c>
      <c r="C505" s="11" t="s">
        <v>42</v>
      </c>
      <c r="D505" s="11" t="s">
        <v>820</v>
      </c>
      <c r="E505" s="12">
        <v>17</v>
      </c>
      <c r="F505" s="12">
        <v>9</v>
      </c>
      <c r="G505" s="12">
        <v>153</v>
      </c>
      <c r="H505" s="11" t="s">
        <v>15</v>
      </c>
      <c r="I505" s="11" t="s">
        <v>39</v>
      </c>
      <c r="J505" s="12" t="s">
        <v>962</v>
      </c>
      <c r="K505" s="13" t="b">
        <v>0</v>
      </c>
      <c r="L505" s="14" t="s">
        <v>35</v>
      </c>
    </row>
    <row r="506" spans="1:12" ht="15.75" thickBot="1" x14ac:dyDescent="0.3">
      <c r="A506" s="4" t="s">
        <v>963</v>
      </c>
      <c r="B506" s="5" t="s">
        <v>60</v>
      </c>
      <c r="C506" s="5" t="s">
        <v>25</v>
      </c>
      <c r="D506" s="5" t="s">
        <v>259</v>
      </c>
      <c r="E506" s="6">
        <v>24.5</v>
      </c>
      <c r="F506" s="6">
        <v>10</v>
      </c>
      <c r="G506" s="6">
        <v>245</v>
      </c>
      <c r="H506" s="5" t="s">
        <v>15</v>
      </c>
      <c r="I506" s="5" t="s">
        <v>16</v>
      </c>
      <c r="J506" s="7">
        <v>45449</v>
      </c>
      <c r="K506" s="8" t="b">
        <v>0</v>
      </c>
      <c r="L506" s="9" t="s">
        <v>17</v>
      </c>
    </row>
    <row r="507" spans="1:12" ht="15.75" thickBot="1" x14ac:dyDescent="0.3">
      <c r="A507" s="10" t="s">
        <v>964</v>
      </c>
      <c r="B507" s="11" t="s">
        <v>149</v>
      </c>
      <c r="C507" s="11" t="s">
        <v>42</v>
      </c>
      <c r="D507" s="11" t="s">
        <v>449</v>
      </c>
      <c r="E507" s="12">
        <v>29</v>
      </c>
      <c r="F507" s="12">
        <v>1</v>
      </c>
      <c r="G507" s="12">
        <v>29</v>
      </c>
      <c r="H507" s="11" t="s">
        <v>51</v>
      </c>
      <c r="I507" s="11" t="s">
        <v>39</v>
      </c>
      <c r="J507" s="12" t="s">
        <v>965</v>
      </c>
      <c r="K507" s="13" t="b">
        <v>1</v>
      </c>
      <c r="L507" s="14" t="s">
        <v>32</v>
      </c>
    </row>
    <row r="508" spans="1:12" ht="45.75" thickBot="1" x14ac:dyDescent="0.3">
      <c r="A508" s="4" t="s">
        <v>966</v>
      </c>
      <c r="B508" s="5" t="s">
        <v>117</v>
      </c>
      <c r="C508" s="5" t="s">
        <v>75</v>
      </c>
      <c r="D508" s="5" t="s">
        <v>121</v>
      </c>
      <c r="E508" s="6">
        <v>35</v>
      </c>
      <c r="F508" s="6">
        <v>6</v>
      </c>
      <c r="G508" s="6">
        <v>210</v>
      </c>
      <c r="H508" s="5" t="s">
        <v>51</v>
      </c>
      <c r="I508" s="5" t="s">
        <v>39</v>
      </c>
      <c r="J508" s="7">
        <v>45323</v>
      </c>
      <c r="K508" s="8" t="b">
        <v>0</v>
      </c>
      <c r="L508" s="9" t="s">
        <v>17</v>
      </c>
    </row>
    <row r="509" spans="1:12" ht="15.75" thickBot="1" x14ac:dyDescent="0.3">
      <c r="A509" s="10" t="s">
        <v>967</v>
      </c>
      <c r="B509" s="11" t="s">
        <v>99</v>
      </c>
      <c r="C509" s="11" t="s">
        <v>20</v>
      </c>
      <c r="D509" s="11" t="s">
        <v>370</v>
      </c>
      <c r="E509" s="12">
        <v>20</v>
      </c>
      <c r="F509" s="12">
        <v>4</v>
      </c>
      <c r="G509" s="12">
        <v>80</v>
      </c>
      <c r="H509" s="11" t="s">
        <v>15</v>
      </c>
      <c r="I509" s="11" t="s">
        <v>16</v>
      </c>
      <c r="J509" s="12" t="s">
        <v>65</v>
      </c>
      <c r="K509" s="13" t="b">
        <v>0</v>
      </c>
      <c r="L509" s="14" t="s">
        <v>32</v>
      </c>
    </row>
    <row r="510" spans="1:12" ht="15.75" thickBot="1" x14ac:dyDescent="0.3">
      <c r="A510" s="4" t="s">
        <v>968</v>
      </c>
      <c r="B510" s="5" t="s">
        <v>94</v>
      </c>
      <c r="C510" s="5" t="s">
        <v>20</v>
      </c>
      <c r="D510" s="5" t="s">
        <v>721</v>
      </c>
      <c r="E510" s="6">
        <v>23</v>
      </c>
      <c r="F510" s="6">
        <v>6</v>
      </c>
      <c r="G510" s="6">
        <v>138</v>
      </c>
      <c r="H510" s="5" t="s">
        <v>27</v>
      </c>
      <c r="I510" s="5" t="s">
        <v>16</v>
      </c>
      <c r="J510" s="7">
        <v>44904</v>
      </c>
      <c r="K510" s="5"/>
      <c r="L510" s="9" t="s">
        <v>35</v>
      </c>
    </row>
    <row r="511" spans="1:12" ht="15.75" thickBot="1" x14ac:dyDescent="0.3">
      <c r="A511" s="10" t="s">
        <v>969</v>
      </c>
      <c r="B511" s="11" t="s">
        <v>12</v>
      </c>
      <c r="C511" s="11" t="s">
        <v>42</v>
      </c>
      <c r="D511" s="11" t="s">
        <v>239</v>
      </c>
      <c r="E511" s="12">
        <v>20</v>
      </c>
      <c r="F511" s="12">
        <v>3</v>
      </c>
      <c r="G511" s="12">
        <v>60</v>
      </c>
      <c r="H511" s="11" t="s">
        <v>27</v>
      </c>
      <c r="I511" s="11" t="s">
        <v>16</v>
      </c>
      <c r="J511" s="15">
        <v>44748</v>
      </c>
      <c r="K511" s="13" t="b">
        <v>0</v>
      </c>
      <c r="L511" s="14" t="s">
        <v>32</v>
      </c>
    </row>
    <row r="512" spans="1:12" ht="45.75" thickBot="1" x14ac:dyDescent="0.3">
      <c r="A512" s="4" t="s">
        <v>970</v>
      </c>
      <c r="B512" s="5" t="s">
        <v>24</v>
      </c>
      <c r="C512" s="5" t="s">
        <v>75</v>
      </c>
      <c r="D512" s="5" t="s">
        <v>87</v>
      </c>
      <c r="E512" s="6">
        <v>9.5</v>
      </c>
      <c r="F512" s="6">
        <v>10</v>
      </c>
      <c r="G512" s="6">
        <v>95</v>
      </c>
      <c r="H512" s="5" t="s">
        <v>51</v>
      </c>
      <c r="I512" s="5" t="s">
        <v>39</v>
      </c>
      <c r="J512" s="6" t="s">
        <v>971</v>
      </c>
      <c r="K512" s="8" t="b">
        <v>1</v>
      </c>
      <c r="L512" s="9" t="s">
        <v>32</v>
      </c>
    </row>
    <row r="513" spans="1:12" ht="15.75" thickBot="1" x14ac:dyDescent="0.3">
      <c r="A513" s="10" t="s">
        <v>972</v>
      </c>
      <c r="B513" s="11" t="s">
        <v>106</v>
      </c>
      <c r="C513" s="11" t="s">
        <v>42</v>
      </c>
      <c r="D513" s="11" t="s">
        <v>251</v>
      </c>
      <c r="E513" s="12">
        <v>39.5</v>
      </c>
      <c r="F513" s="12">
        <v>2</v>
      </c>
      <c r="G513" s="12">
        <v>79</v>
      </c>
      <c r="H513" s="11" t="s">
        <v>27</v>
      </c>
      <c r="I513" s="11" t="s">
        <v>16</v>
      </c>
      <c r="J513" s="12" t="s">
        <v>973</v>
      </c>
      <c r="K513" s="13" t="b">
        <v>0</v>
      </c>
      <c r="L513" s="14" t="s">
        <v>32</v>
      </c>
    </row>
    <row r="514" spans="1:12" ht="45.75" thickBot="1" x14ac:dyDescent="0.3">
      <c r="A514" s="4" t="s">
        <v>974</v>
      </c>
      <c r="B514" s="5" t="s">
        <v>127</v>
      </c>
      <c r="C514" s="5" t="s">
        <v>158</v>
      </c>
      <c r="D514" s="5" t="s">
        <v>182</v>
      </c>
      <c r="E514" s="6">
        <v>26</v>
      </c>
      <c r="F514" s="6">
        <v>3</v>
      </c>
      <c r="G514" s="6">
        <v>78</v>
      </c>
      <c r="H514" s="5" t="s">
        <v>27</v>
      </c>
      <c r="I514" s="5" t="s">
        <v>16</v>
      </c>
      <c r="J514" s="6" t="s">
        <v>232</v>
      </c>
      <c r="K514" s="8" t="b">
        <v>1</v>
      </c>
      <c r="L514" s="9" t="s">
        <v>32</v>
      </c>
    </row>
    <row r="515" spans="1:12" ht="15.75" thickBot="1" x14ac:dyDescent="0.3">
      <c r="A515" s="10" t="s">
        <v>975</v>
      </c>
      <c r="B515" s="11" t="s">
        <v>90</v>
      </c>
      <c r="C515" s="11" t="s">
        <v>42</v>
      </c>
      <c r="D515" s="11" t="s">
        <v>743</v>
      </c>
      <c r="E515" s="12">
        <v>9.5</v>
      </c>
      <c r="F515" s="12">
        <v>4</v>
      </c>
      <c r="G515" s="12">
        <v>38</v>
      </c>
      <c r="H515" s="11" t="s">
        <v>51</v>
      </c>
      <c r="I515" s="11" t="s">
        <v>16</v>
      </c>
      <c r="J515" s="12" t="s">
        <v>976</v>
      </c>
      <c r="K515" s="13" t="b">
        <v>1</v>
      </c>
      <c r="L515" s="14" t="s">
        <v>32</v>
      </c>
    </row>
    <row r="516" spans="1:12" ht="15.75" thickBot="1" x14ac:dyDescent="0.3">
      <c r="A516" s="4" t="s">
        <v>977</v>
      </c>
      <c r="B516" s="5" t="s">
        <v>136</v>
      </c>
      <c r="C516" s="5" t="s">
        <v>25</v>
      </c>
      <c r="D516" s="5" t="s">
        <v>978</v>
      </c>
      <c r="E516" s="6">
        <v>30.5</v>
      </c>
      <c r="F516" s="6">
        <v>10</v>
      </c>
      <c r="G516" s="6">
        <v>305</v>
      </c>
      <c r="H516" s="5" t="s">
        <v>51</v>
      </c>
      <c r="I516" s="5" t="s">
        <v>16</v>
      </c>
      <c r="J516" s="6" t="s">
        <v>979</v>
      </c>
      <c r="K516" s="8" t="b">
        <v>0</v>
      </c>
      <c r="L516" s="9" t="s">
        <v>17</v>
      </c>
    </row>
    <row r="517" spans="1:12" ht="15.75" thickBot="1" x14ac:dyDescent="0.3">
      <c r="A517" s="10" t="s">
        <v>980</v>
      </c>
      <c r="B517" s="11" t="s">
        <v>149</v>
      </c>
      <c r="C517" s="11" t="s">
        <v>42</v>
      </c>
      <c r="D517" s="11" t="s">
        <v>905</v>
      </c>
      <c r="E517" s="12">
        <v>12.5</v>
      </c>
      <c r="F517" s="12">
        <v>3</v>
      </c>
      <c r="G517" s="12">
        <v>37.5</v>
      </c>
      <c r="H517" s="11" t="s">
        <v>27</v>
      </c>
      <c r="I517" s="11" t="s">
        <v>16</v>
      </c>
      <c r="J517" s="15">
        <v>44747</v>
      </c>
      <c r="K517" s="11"/>
      <c r="L517" s="14" t="s">
        <v>32</v>
      </c>
    </row>
    <row r="518" spans="1:12" ht="15.75" thickBot="1" x14ac:dyDescent="0.3">
      <c r="A518" s="4" t="s">
        <v>981</v>
      </c>
      <c r="B518" s="5" t="s">
        <v>24</v>
      </c>
      <c r="C518" s="5" t="s">
        <v>20</v>
      </c>
      <c r="D518" s="5" t="s">
        <v>647</v>
      </c>
      <c r="E518" s="6">
        <v>17</v>
      </c>
      <c r="F518" s="6">
        <v>3</v>
      </c>
      <c r="G518" s="6">
        <v>51</v>
      </c>
      <c r="H518" s="5" t="s">
        <v>51</v>
      </c>
      <c r="I518" s="5" t="s">
        <v>39</v>
      </c>
      <c r="J518" s="6" t="s">
        <v>982</v>
      </c>
      <c r="K518" s="5"/>
      <c r="L518" s="9" t="s">
        <v>32</v>
      </c>
    </row>
    <row r="519" spans="1:12" ht="15.75" thickBot="1" x14ac:dyDescent="0.3">
      <c r="A519" s="10" t="s">
        <v>983</v>
      </c>
      <c r="B519" s="11" t="s">
        <v>19</v>
      </c>
      <c r="C519" s="11" t="s">
        <v>25</v>
      </c>
      <c r="D519" s="11" t="s">
        <v>322</v>
      </c>
      <c r="E519" s="12">
        <v>38</v>
      </c>
      <c r="F519" s="12">
        <v>1</v>
      </c>
      <c r="G519" s="12">
        <v>38</v>
      </c>
      <c r="H519" s="11" t="s">
        <v>15</v>
      </c>
      <c r="I519" s="11" t="s">
        <v>16</v>
      </c>
      <c r="J519" s="12" t="s">
        <v>984</v>
      </c>
      <c r="K519" s="13" t="b">
        <v>0</v>
      </c>
      <c r="L519" s="14" t="s">
        <v>32</v>
      </c>
    </row>
    <row r="520" spans="1:12" ht="15.75" thickBot="1" x14ac:dyDescent="0.3">
      <c r="A520" s="4" t="s">
        <v>985</v>
      </c>
      <c r="B520" s="5" t="s">
        <v>29</v>
      </c>
      <c r="C520" s="5" t="s">
        <v>42</v>
      </c>
      <c r="D520" s="5" t="s">
        <v>175</v>
      </c>
      <c r="E520" s="6">
        <v>38</v>
      </c>
      <c r="F520" s="6">
        <v>5</v>
      </c>
      <c r="G520" s="6">
        <v>190</v>
      </c>
      <c r="H520" s="5" t="s">
        <v>15</v>
      </c>
      <c r="I520" s="5" t="s">
        <v>39</v>
      </c>
      <c r="J520" s="6" t="s">
        <v>986</v>
      </c>
      <c r="K520" s="8" t="b">
        <v>0</v>
      </c>
      <c r="L520" s="9" t="s">
        <v>35</v>
      </c>
    </row>
    <row r="521" spans="1:12" ht="15.75" thickBot="1" x14ac:dyDescent="0.3">
      <c r="A521" s="10" t="s">
        <v>987</v>
      </c>
      <c r="B521" s="11" t="s">
        <v>94</v>
      </c>
      <c r="C521" s="11" t="s">
        <v>42</v>
      </c>
      <c r="D521" s="11" t="s">
        <v>362</v>
      </c>
      <c r="E521" s="12">
        <v>5</v>
      </c>
      <c r="F521" s="12">
        <v>6</v>
      </c>
      <c r="G521" s="12">
        <v>30</v>
      </c>
      <c r="H521" s="11" t="s">
        <v>15</v>
      </c>
      <c r="I521" s="11" t="s">
        <v>16</v>
      </c>
      <c r="J521" s="15">
        <v>45234</v>
      </c>
      <c r="K521" s="13" t="b">
        <v>1</v>
      </c>
      <c r="L521" s="14" t="s">
        <v>32</v>
      </c>
    </row>
    <row r="522" spans="1:12" ht="15.75" thickBot="1" x14ac:dyDescent="0.3">
      <c r="A522" s="4" t="s">
        <v>988</v>
      </c>
      <c r="B522" s="5" t="s">
        <v>86</v>
      </c>
      <c r="C522" s="5" t="s">
        <v>13</v>
      </c>
      <c r="D522" s="5" t="s">
        <v>161</v>
      </c>
      <c r="E522" s="6">
        <v>20</v>
      </c>
      <c r="F522" s="6">
        <v>8</v>
      </c>
      <c r="G522" s="6">
        <v>160</v>
      </c>
      <c r="H522" s="5" t="s">
        <v>15</v>
      </c>
      <c r="I522" s="5" t="s">
        <v>16</v>
      </c>
      <c r="J522" s="6" t="s">
        <v>848</v>
      </c>
      <c r="K522" s="8" t="b">
        <v>1</v>
      </c>
      <c r="L522" s="9" t="s">
        <v>35</v>
      </c>
    </row>
    <row r="523" spans="1:12" ht="15.75" thickBot="1" x14ac:dyDescent="0.3">
      <c r="A523" s="10" t="s">
        <v>989</v>
      </c>
      <c r="B523" s="11" t="s">
        <v>48</v>
      </c>
      <c r="C523" s="11" t="s">
        <v>49</v>
      </c>
      <c r="D523" s="11" t="s">
        <v>518</v>
      </c>
      <c r="E523" s="12">
        <v>5</v>
      </c>
      <c r="F523" s="12">
        <v>3</v>
      </c>
      <c r="G523" s="12">
        <v>15</v>
      </c>
      <c r="H523" s="11" t="s">
        <v>51</v>
      </c>
      <c r="I523" s="11" t="s">
        <v>39</v>
      </c>
      <c r="J523" s="12" t="s">
        <v>990</v>
      </c>
      <c r="K523" s="11"/>
      <c r="L523" s="14" t="s">
        <v>32</v>
      </c>
    </row>
    <row r="524" spans="1:12" ht="45.75" thickBot="1" x14ac:dyDescent="0.3">
      <c r="A524" s="4" t="s">
        <v>991</v>
      </c>
      <c r="B524" s="5" t="s">
        <v>136</v>
      </c>
      <c r="C524" s="5" t="s">
        <v>158</v>
      </c>
      <c r="D524" s="5" t="s">
        <v>309</v>
      </c>
      <c r="E524" s="6">
        <v>15.5</v>
      </c>
      <c r="F524" s="6">
        <v>3</v>
      </c>
      <c r="G524" s="6">
        <v>46.5</v>
      </c>
      <c r="H524" s="5" t="s">
        <v>15</v>
      </c>
      <c r="I524" s="5" t="s">
        <v>39</v>
      </c>
      <c r="J524" s="6" t="s">
        <v>992</v>
      </c>
      <c r="K524" s="8" t="b">
        <v>0</v>
      </c>
      <c r="L524" s="9" t="s">
        <v>32</v>
      </c>
    </row>
    <row r="525" spans="1:12" ht="15.75" thickBot="1" x14ac:dyDescent="0.3">
      <c r="A525" s="10" t="s">
        <v>993</v>
      </c>
      <c r="B525" s="11" t="s">
        <v>86</v>
      </c>
      <c r="C525" s="11" t="s">
        <v>25</v>
      </c>
      <c r="D525" s="11" t="s">
        <v>327</v>
      </c>
      <c r="E525" s="12">
        <v>32</v>
      </c>
      <c r="F525" s="12">
        <v>8</v>
      </c>
      <c r="G525" s="12">
        <v>256</v>
      </c>
      <c r="H525" s="11" t="s">
        <v>51</v>
      </c>
      <c r="I525" s="11" t="s">
        <v>16</v>
      </c>
      <c r="J525" s="15">
        <v>45293</v>
      </c>
      <c r="K525" s="13" t="b">
        <v>0</v>
      </c>
      <c r="L525" s="14" t="s">
        <v>17</v>
      </c>
    </row>
    <row r="526" spans="1:12" ht="45.75" thickBot="1" x14ac:dyDescent="0.3">
      <c r="A526" s="4" t="s">
        <v>994</v>
      </c>
      <c r="B526" s="5" t="s">
        <v>44</v>
      </c>
      <c r="C526" s="5" t="s">
        <v>158</v>
      </c>
      <c r="D526" s="5" t="s">
        <v>471</v>
      </c>
      <c r="E526" s="6">
        <v>32</v>
      </c>
      <c r="F526" s="6">
        <v>7</v>
      </c>
      <c r="G526" s="6">
        <v>224</v>
      </c>
      <c r="H526" s="5" t="s">
        <v>15</v>
      </c>
      <c r="I526" s="5" t="s">
        <v>39</v>
      </c>
      <c r="J526" s="6" t="s">
        <v>995</v>
      </c>
      <c r="K526" s="5"/>
      <c r="L526" s="9" t="s">
        <v>17</v>
      </c>
    </row>
    <row r="527" spans="1:12" ht="45.75" thickBot="1" x14ac:dyDescent="0.3">
      <c r="A527" s="10" t="s">
        <v>996</v>
      </c>
      <c r="B527" s="11" t="s">
        <v>117</v>
      </c>
      <c r="C527" s="11" t="s">
        <v>75</v>
      </c>
      <c r="D527" s="11"/>
      <c r="E527" s="11"/>
      <c r="F527" s="12">
        <v>7</v>
      </c>
      <c r="G527" s="12">
        <v>108.5</v>
      </c>
      <c r="H527" s="11" t="s">
        <v>15</v>
      </c>
      <c r="I527" s="11" t="s">
        <v>16</v>
      </c>
      <c r="J527" s="12" t="s">
        <v>997</v>
      </c>
      <c r="K527" s="13" t="b">
        <v>0</v>
      </c>
      <c r="L527" s="14" t="s">
        <v>35</v>
      </c>
    </row>
    <row r="528" spans="1:12" ht="15.75" thickBot="1" x14ac:dyDescent="0.3">
      <c r="A528" s="4" t="s">
        <v>998</v>
      </c>
      <c r="B528" s="5" t="s">
        <v>130</v>
      </c>
      <c r="C528" s="5" t="s">
        <v>25</v>
      </c>
      <c r="D528" s="5" t="s">
        <v>141</v>
      </c>
      <c r="E528" s="6">
        <v>36.5</v>
      </c>
      <c r="F528" s="6">
        <v>5</v>
      </c>
      <c r="G528" s="6">
        <v>182.5</v>
      </c>
      <c r="H528" s="5" t="s">
        <v>15</v>
      </c>
      <c r="I528" s="5" t="s">
        <v>39</v>
      </c>
      <c r="J528" s="7">
        <v>44805</v>
      </c>
      <c r="K528" s="5"/>
      <c r="L528" s="9" t="s">
        <v>35</v>
      </c>
    </row>
    <row r="529" spans="1:12" ht="15.75" thickBot="1" x14ac:dyDescent="0.3">
      <c r="A529" s="10" t="s">
        <v>999</v>
      </c>
      <c r="B529" s="11" t="s">
        <v>60</v>
      </c>
      <c r="C529" s="11" t="s">
        <v>42</v>
      </c>
      <c r="D529" s="11" t="s">
        <v>392</v>
      </c>
      <c r="E529" s="12">
        <v>15.5</v>
      </c>
      <c r="F529" s="12">
        <v>2</v>
      </c>
      <c r="G529" s="12">
        <v>31</v>
      </c>
      <c r="H529" s="11" t="s">
        <v>27</v>
      </c>
      <c r="I529" s="11" t="s">
        <v>39</v>
      </c>
      <c r="J529" s="12" t="s">
        <v>382</v>
      </c>
      <c r="K529" s="13" t="b">
        <v>0</v>
      </c>
      <c r="L529" s="14" t="s">
        <v>32</v>
      </c>
    </row>
    <row r="530" spans="1:12" ht="15.75" thickBot="1" x14ac:dyDescent="0.3">
      <c r="A530" s="4" t="s">
        <v>1000</v>
      </c>
      <c r="B530" s="5" t="s">
        <v>136</v>
      </c>
      <c r="C530" s="5" t="s">
        <v>30</v>
      </c>
      <c r="D530" s="5" t="s">
        <v>155</v>
      </c>
      <c r="E530" s="6">
        <v>21.5</v>
      </c>
      <c r="F530" s="6">
        <v>10</v>
      </c>
      <c r="G530" s="6">
        <v>215</v>
      </c>
      <c r="H530" s="5" t="s">
        <v>51</v>
      </c>
      <c r="I530" s="5" t="s">
        <v>39</v>
      </c>
      <c r="J530" s="7">
        <v>45570</v>
      </c>
      <c r="K530" s="8" t="b">
        <v>0</v>
      </c>
      <c r="L530" s="9" t="s">
        <v>17</v>
      </c>
    </row>
    <row r="531" spans="1:12" ht="15.75" thickBot="1" x14ac:dyDescent="0.3">
      <c r="A531" s="10" t="s">
        <v>1001</v>
      </c>
      <c r="B531" s="11" t="s">
        <v>120</v>
      </c>
      <c r="C531" s="11" t="s">
        <v>42</v>
      </c>
      <c r="D531" s="11" t="s">
        <v>296</v>
      </c>
      <c r="E531" s="12">
        <v>11</v>
      </c>
      <c r="F531" s="12">
        <v>3</v>
      </c>
      <c r="G531" s="12">
        <v>33</v>
      </c>
      <c r="H531" s="11" t="s">
        <v>15</v>
      </c>
      <c r="I531" s="11" t="s">
        <v>39</v>
      </c>
      <c r="J531" s="15">
        <v>44907</v>
      </c>
      <c r="K531" s="11"/>
      <c r="L531" s="14" t="s">
        <v>32</v>
      </c>
    </row>
    <row r="532" spans="1:12" ht="45.75" thickBot="1" x14ac:dyDescent="0.3">
      <c r="A532" s="4" t="s">
        <v>1002</v>
      </c>
      <c r="B532" s="5" t="s">
        <v>60</v>
      </c>
      <c r="C532" s="5" t="s">
        <v>158</v>
      </c>
      <c r="D532" s="5" t="s">
        <v>1003</v>
      </c>
      <c r="E532" s="6">
        <v>38</v>
      </c>
      <c r="F532" s="6">
        <v>4</v>
      </c>
      <c r="G532" s="6">
        <v>152</v>
      </c>
      <c r="H532" s="5" t="s">
        <v>27</v>
      </c>
      <c r="I532" s="5" t="s">
        <v>16</v>
      </c>
      <c r="J532" s="7">
        <v>45992</v>
      </c>
      <c r="K532" s="8" t="b">
        <v>1</v>
      </c>
      <c r="L532" s="9" t="s">
        <v>35</v>
      </c>
    </row>
    <row r="533" spans="1:12" ht="15.75" thickBot="1" x14ac:dyDescent="0.3">
      <c r="A533" s="10" t="s">
        <v>1004</v>
      </c>
      <c r="B533" s="11" t="s">
        <v>41</v>
      </c>
      <c r="C533" s="11" t="s">
        <v>42</v>
      </c>
      <c r="D533" s="11" t="s">
        <v>362</v>
      </c>
      <c r="E533" s="12">
        <v>5</v>
      </c>
      <c r="F533" s="12">
        <v>10</v>
      </c>
      <c r="G533" s="12">
        <v>50</v>
      </c>
      <c r="H533" s="11" t="s">
        <v>15</v>
      </c>
      <c r="I533" s="11" t="s">
        <v>39</v>
      </c>
      <c r="J533" s="15">
        <v>44746</v>
      </c>
      <c r="K533" s="11"/>
      <c r="L533" s="14" t="s">
        <v>32</v>
      </c>
    </row>
    <row r="534" spans="1:12" ht="15.75" thickBot="1" x14ac:dyDescent="0.3">
      <c r="A534" s="4" t="s">
        <v>1005</v>
      </c>
      <c r="B534" s="5" t="s">
        <v>117</v>
      </c>
      <c r="C534" s="5" t="s">
        <v>49</v>
      </c>
      <c r="D534" s="5" t="s">
        <v>395</v>
      </c>
      <c r="E534" s="6">
        <v>23</v>
      </c>
      <c r="F534" s="6">
        <v>10</v>
      </c>
      <c r="G534" s="6">
        <v>230</v>
      </c>
      <c r="H534" s="5" t="s">
        <v>15</v>
      </c>
      <c r="I534" s="5" t="s">
        <v>39</v>
      </c>
      <c r="J534" s="7">
        <v>45200</v>
      </c>
      <c r="K534" s="8" t="b">
        <v>1</v>
      </c>
      <c r="L534" s="9" t="s">
        <v>17</v>
      </c>
    </row>
    <row r="535" spans="1:12" ht="45.75" thickBot="1" x14ac:dyDescent="0.3">
      <c r="A535" s="10" t="s">
        <v>1006</v>
      </c>
      <c r="B535" s="11" t="s">
        <v>140</v>
      </c>
      <c r="C535" s="11" t="s">
        <v>75</v>
      </c>
      <c r="D535" s="11" t="s">
        <v>1007</v>
      </c>
      <c r="E535" s="12">
        <v>39.5</v>
      </c>
      <c r="F535" s="12">
        <v>7</v>
      </c>
      <c r="G535" s="12">
        <v>276.5</v>
      </c>
      <c r="H535" s="11" t="s">
        <v>51</v>
      </c>
      <c r="I535" s="11" t="s">
        <v>16</v>
      </c>
      <c r="J535" s="15">
        <v>45576</v>
      </c>
      <c r="K535" s="11"/>
      <c r="L535" s="14" t="s">
        <v>17</v>
      </c>
    </row>
    <row r="536" spans="1:12" ht="15.75" thickBot="1" x14ac:dyDescent="0.3">
      <c r="A536" s="4" t="s">
        <v>1008</v>
      </c>
      <c r="B536" s="5" t="s">
        <v>12</v>
      </c>
      <c r="C536" s="5" t="s">
        <v>13</v>
      </c>
      <c r="D536" s="5" t="s">
        <v>282</v>
      </c>
      <c r="E536" s="6">
        <v>27.5</v>
      </c>
      <c r="F536" s="6">
        <v>9</v>
      </c>
      <c r="G536" s="6">
        <v>247.5</v>
      </c>
      <c r="H536" s="5" t="s">
        <v>15</v>
      </c>
      <c r="I536" s="5" t="s">
        <v>16</v>
      </c>
      <c r="J536" s="7">
        <v>44840</v>
      </c>
      <c r="K536" s="8" t="b">
        <v>0</v>
      </c>
      <c r="L536" s="9" t="s">
        <v>17</v>
      </c>
    </row>
    <row r="537" spans="1:12" ht="45.75" thickBot="1" x14ac:dyDescent="0.3">
      <c r="A537" s="10" t="s">
        <v>1009</v>
      </c>
      <c r="B537" s="11" t="s">
        <v>74</v>
      </c>
      <c r="C537" s="11" t="s">
        <v>158</v>
      </c>
      <c r="D537" s="11" t="s">
        <v>837</v>
      </c>
      <c r="E537" s="12">
        <v>21.5</v>
      </c>
      <c r="F537" s="12">
        <v>9</v>
      </c>
      <c r="G537" s="12">
        <v>193.5</v>
      </c>
      <c r="H537" s="11" t="s">
        <v>15</v>
      </c>
      <c r="I537" s="11" t="s">
        <v>16</v>
      </c>
      <c r="J537" s="15">
        <v>45078</v>
      </c>
      <c r="K537" s="13" t="b">
        <v>1</v>
      </c>
      <c r="L537" s="14" t="s">
        <v>35</v>
      </c>
    </row>
    <row r="538" spans="1:12" ht="15.75" thickBot="1" x14ac:dyDescent="0.3">
      <c r="A538" s="4" t="s">
        <v>1010</v>
      </c>
      <c r="B538" s="5" t="s">
        <v>71</v>
      </c>
      <c r="C538" s="5" t="s">
        <v>49</v>
      </c>
      <c r="D538" s="5"/>
      <c r="E538" s="5"/>
      <c r="F538" s="6">
        <v>6</v>
      </c>
      <c r="G538" s="6">
        <v>183</v>
      </c>
      <c r="H538" s="5" t="s">
        <v>15</v>
      </c>
      <c r="I538" s="5" t="s">
        <v>39</v>
      </c>
      <c r="J538" s="7">
        <v>45509</v>
      </c>
      <c r="K538" s="5"/>
      <c r="L538" s="9" t="s">
        <v>35</v>
      </c>
    </row>
    <row r="539" spans="1:12" ht="15.75" thickBot="1" x14ac:dyDescent="0.3">
      <c r="A539" s="10" t="s">
        <v>1011</v>
      </c>
      <c r="B539" s="11" t="s">
        <v>99</v>
      </c>
      <c r="C539" s="11" t="s">
        <v>42</v>
      </c>
      <c r="D539" s="11" t="s">
        <v>45</v>
      </c>
      <c r="E539" s="12">
        <v>27.5</v>
      </c>
      <c r="F539" s="12">
        <v>10</v>
      </c>
      <c r="G539" s="12">
        <v>275</v>
      </c>
      <c r="H539" s="11" t="s">
        <v>51</v>
      </c>
      <c r="I539" s="11" t="s">
        <v>39</v>
      </c>
      <c r="J539" s="15">
        <v>45390</v>
      </c>
      <c r="K539" s="13" t="b">
        <v>0</v>
      </c>
      <c r="L539" s="14" t="s">
        <v>17</v>
      </c>
    </row>
    <row r="540" spans="1:12" ht="15.75" thickBot="1" x14ac:dyDescent="0.3">
      <c r="A540" s="4" t="s">
        <v>1012</v>
      </c>
      <c r="B540" s="5" t="s">
        <v>12</v>
      </c>
      <c r="C540" s="5" t="s">
        <v>13</v>
      </c>
      <c r="D540" s="5" t="s">
        <v>690</v>
      </c>
      <c r="E540" s="6">
        <v>15.5</v>
      </c>
      <c r="F540" s="6">
        <v>2</v>
      </c>
      <c r="G540" s="6">
        <v>31</v>
      </c>
      <c r="H540" s="5" t="s">
        <v>27</v>
      </c>
      <c r="I540" s="5" t="s">
        <v>16</v>
      </c>
      <c r="J540" s="7">
        <v>44595</v>
      </c>
      <c r="K540" s="5"/>
      <c r="L540" s="9" t="s">
        <v>32</v>
      </c>
    </row>
    <row r="541" spans="1:12" ht="15.75" thickBot="1" x14ac:dyDescent="0.3">
      <c r="A541" s="10" t="s">
        <v>1013</v>
      </c>
      <c r="B541" s="11" t="s">
        <v>90</v>
      </c>
      <c r="C541" s="11" t="s">
        <v>20</v>
      </c>
      <c r="D541" s="11" t="s">
        <v>253</v>
      </c>
      <c r="E541" s="12">
        <v>15.5</v>
      </c>
      <c r="F541" s="12">
        <v>2</v>
      </c>
      <c r="G541" s="12">
        <v>31</v>
      </c>
      <c r="H541" s="11" t="s">
        <v>15</v>
      </c>
      <c r="I541" s="11" t="s">
        <v>16</v>
      </c>
      <c r="J541" s="12" t="s">
        <v>335</v>
      </c>
      <c r="K541" s="11"/>
      <c r="L541" s="14" t="s">
        <v>32</v>
      </c>
    </row>
    <row r="542" spans="1:12" ht="15.75" thickBot="1" x14ac:dyDescent="0.3">
      <c r="A542" s="4" t="s">
        <v>1014</v>
      </c>
      <c r="B542" s="5" t="s">
        <v>206</v>
      </c>
      <c r="C542" s="5" t="s">
        <v>30</v>
      </c>
      <c r="D542" s="5" t="s">
        <v>58</v>
      </c>
      <c r="E542" s="6">
        <v>6.5</v>
      </c>
      <c r="F542" s="6">
        <v>4</v>
      </c>
      <c r="G542" s="6">
        <v>26</v>
      </c>
      <c r="H542" s="5" t="s">
        <v>27</v>
      </c>
      <c r="I542" s="5" t="s">
        <v>39</v>
      </c>
      <c r="J542" s="7">
        <v>45507</v>
      </c>
      <c r="K542" s="5"/>
      <c r="L542" s="9" t="s">
        <v>32</v>
      </c>
    </row>
    <row r="543" spans="1:12" ht="15.75" thickBot="1" x14ac:dyDescent="0.3">
      <c r="A543" s="10" t="s">
        <v>1015</v>
      </c>
      <c r="B543" s="11" t="s">
        <v>120</v>
      </c>
      <c r="C543" s="11" t="s">
        <v>42</v>
      </c>
      <c r="D543" s="11"/>
      <c r="E543" s="11"/>
      <c r="F543" s="12">
        <v>2</v>
      </c>
      <c r="G543" s="12">
        <v>76</v>
      </c>
      <c r="H543" s="11" t="s">
        <v>27</v>
      </c>
      <c r="I543" s="11" t="s">
        <v>16</v>
      </c>
      <c r="J543" s="15">
        <v>44901</v>
      </c>
      <c r="K543" s="13" t="b">
        <v>1</v>
      </c>
      <c r="L543" s="14" t="s">
        <v>32</v>
      </c>
    </row>
    <row r="544" spans="1:12" ht="15.75" thickBot="1" x14ac:dyDescent="0.3">
      <c r="A544" s="4" t="s">
        <v>1016</v>
      </c>
      <c r="B544" s="5" t="s">
        <v>12</v>
      </c>
      <c r="C544" s="5" t="s">
        <v>20</v>
      </c>
      <c r="D544" s="5" t="s">
        <v>721</v>
      </c>
      <c r="E544" s="6">
        <v>23</v>
      </c>
      <c r="F544" s="6">
        <v>10</v>
      </c>
      <c r="G544" s="6">
        <v>230</v>
      </c>
      <c r="H544" s="5" t="s">
        <v>15</v>
      </c>
      <c r="I544" s="5" t="s">
        <v>16</v>
      </c>
      <c r="J544" s="7">
        <v>44997</v>
      </c>
      <c r="K544" s="5"/>
      <c r="L544" s="9" t="s">
        <v>17</v>
      </c>
    </row>
    <row r="545" spans="1:12" ht="15.75" thickBot="1" x14ac:dyDescent="0.3">
      <c r="A545" s="10" t="s">
        <v>1017</v>
      </c>
      <c r="B545" s="11" t="s">
        <v>41</v>
      </c>
      <c r="C545" s="11" t="s">
        <v>49</v>
      </c>
      <c r="D545" s="11" t="s">
        <v>355</v>
      </c>
      <c r="E545" s="12">
        <v>30.5</v>
      </c>
      <c r="F545" s="12">
        <v>9</v>
      </c>
      <c r="G545" s="12">
        <v>274.5</v>
      </c>
      <c r="H545" s="11" t="s">
        <v>27</v>
      </c>
      <c r="I545" s="11" t="s">
        <v>39</v>
      </c>
      <c r="J545" s="12" t="s">
        <v>1018</v>
      </c>
      <c r="K545" s="13" t="b">
        <v>0</v>
      </c>
      <c r="L545" s="14" t="s">
        <v>17</v>
      </c>
    </row>
    <row r="546" spans="1:12" ht="15.75" thickBot="1" x14ac:dyDescent="0.3">
      <c r="A546" s="4" t="s">
        <v>1019</v>
      </c>
      <c r="B546" s="5" t="s">
        <v>106</v>
      </c>
      <c r="C546" s="5" t="s">
        <v>13</v>
      </c>
      <c r="D546" s="5" t="s">
        <v>690</v>
      </c>
      <c r="E546" s="6">
        <v>15.5</v>
      </c>
      <c r="F546" s="6">
        <v>6</v>
      </c>
      <c r="G546" s="6">
        <v>93</v>
      </c>
      <c r="H546" s="5" t="s">
        <v>27</v>
      </c>
      <c r="I546" s="5" t="s">
        <v>16</v>
      </c>
      <c r="J546" s="7">
        <v>45207</v>
      </c>
      <c r="K546" s="5"/>
      <c r="L546" s="9" t="s">
        <v>32</v>
      </c>
    </row>
    <row r="547" spans="1:12" ht="45.75" thickBot="1" x14ac:dyDescent="0.3">
      <c r="A547" s="10" t="s">
        <v>1020</v>
      </c>
      <c r="B547" s="11" t="s">
        <v>106</v>
      </c>
      <c r="C547" s="11" t="s">
        <v>75</v>
      </c>
      <c r="D547" s="11" t="s">
        <v>1021</v>
      </c>
      <c r="E547" s="12">
        <v>6.5</v>
      </c>
      <c r="F547" s="12">
        <v>10</v>
      </c>
      <c r="G547" s="12">
        <v>65</v>
      </c>
      <c r="H547" s="11" t="s">
        <v>27</v>
      </c>
      <c r="I547" s="11" t="s">
        <v>39</v>
      </c>
      <c r="J547" s="15">
        <v>44968</v>
      </c>
      <c r="K547" s="11"/>
      <c r="L547" s="14" t="s">
        <v>32</v>
      </c>
    </row>
    <row r="548" spans="1:12" ht="15.75" thickBot="1" x14ac:dyDescent="0.3">
      <c r="A548" s="4" t="s">
        <v>1022</v>
      </c>
      <c r="B548" s="5" t="s">
        <v>106</v>
      </c>
      <c r="C548" s="5" t="s">
        <v>13</v>
      </c>
      <c r="D548" s="5" t="s">
        <v>486</v>
      </c>
      <c r="E548" s="6">
        <v>23</v>
      </c>
      <c r="F548" s="6">
        <v>3</v>
      </c>
      <c r="G548" s="6">
        <v>69</v>
      </c>
      <c r="H548" s="5" t="s">
        <v>51</v>
      </c>
      <c r="I548" s="5" t="s">
        <v>39</v>
      </c>
      <c r="J548" s="6" t="s">
        <v>804</v>
      </c>
      <c r="K548" s="8" t="b">
        <v>0</v>
      </c>
      <c r="L548" s="9" t="s">
        <v>32</v>
      </c>
    </row>
    <row r="549" spans="1:12" ht="45.75" thickBot="1" x14ac:dyDescent="0.3">
      <c r="A549" s="10" t="s">
        <v>1023</v>
      </c>
      <c r="B549" s="11" t="s">
        <v>12</v>
      </c>
      <c r="C549" s="11" t="s">
        <v>158</v>
      </c>
      <c r="D549" s="11" t="s">
        <v>837</v>
      </c>
      <c r="E549" s="12">
        <v>21.5</v>
      </c>
      <c r="F549" s="12">
        <v>1</v>
      </c>
      <c r="G549" s="12">
        <v>21.5</v>
      </c>
      <c r="H549" s="11" t="s">
        <v>51</v>
      </c>
      <c r="I549" s="11" t="s">
        <v>39</v>
      </c>
      <c r="J549" s="12" t="s">
        <v>1024</v>
      </c>
      <c r="K549" s="11"/>
      <c r="L549" s="14" t="s">
        <v>32</v>
      </c>
    </row>
    <row r="550" spans="1:12" ht="45.75" thickBot="1" x14ac:dyDescent="0.3">
      <c r="A550" s="4" t="s">
        <v>1025</v>
      </c>
      <c r="B550" s="5" t="s">
        <v>44</v>
      </c>
      <c r="C550" s="5" t="s">
        <v>158</v>
      </c>
      <c r="D550" s="5" t="s">
        <v>267</v>
      </c>
      <c r="E550" s="6">
        <v>14</v>
      </c>
      <c r="F550" s="6">
        <v>7</v>
      </c>
      <c r="G550" s="6">
        <v>98</v>
      </c>
      <c r="H550" s="5" t="s">
        <v>51</v>
      </c>
      <c r="I550" s="5" t="s">
        <v>39</v>
      </c>
      <c r="J550" s="7">
        <v>45450</v>
      </c>
      <c r="K550" s="8" t="b">
        <v>0</v>
      </c>
      <c r="L550" s="9" t="s">
        <v>32</v>
      </c>
    </row>
    <row r="551" spans="1:12" ht="45.75" thickBot="1" x14ac:dyDescent="0.3">
      <c r="A551" s="10" t="s">
        <v>1026</v>
      </c>
      <c r="B551" s="11" t="s">
        <v>106</v>
      </c>
      <c r="C551" s="11" t="s">
        <v>75</v>
      </c>
      <c r="D551" s="11" t="s">
        <v>313</v>
      </c>
      <c r="E551" s="12">
        <v>15.5</v>
      </c>
      <c r="F551" s="12">
        <v>5</v>
      </c>
      <c r="G551" s="12">
        <v>77.5</v>
      </c>
      <c r="H551" s="11" t="s">
        <v>15</v>
      </c>
      <c r="I551" s="11" t="s">
        <v>16</v>
      </c>
      <c r="J551" s="15">
        <v>45296</v>
      </c>
      <c r="K551" s="13" t="b">
        <v>0</v>
      </c>
      <c r="L551" s="14" t="s">
        <v>32</v>
      </c>
    </row>
    <row r="552" spans="1:12" ht="45.75" thickBot="1" x14ac:dyDescent="0.3">
      <c r="A552" s="4" t="s">
        <v>1027</v>
      </c>
      <c r="B552" s="5" t="s">
        <v>106</v>
      </c>
      <c r="C552" s="5" t="s">
        <v>158</v>
      </c>
      <c r="D552" s="5" t="s">
        <v>306</v>
      </c>
      <c r="E552" s="6">
        <v>35</v>
      </c>
      <c r="F552" s="6">
        <v>8</v>
      </c>
      <c r="G552" s="6">
        <v>280</v>
      </c>
      <c r="H552" s="5" t="s">
        <v>27</v>
      </c>
      <c r="I552" s="5" t="s">
        <v>16</v>
      </c>
      <c r="J552" s="7">
        <v>45577</v>
      </c>
      <c r="K552" s="5"/>
      <c r="L552" s="9" t="s">
        <v>17</v>
      </c>
    </row>
    <row r="553" spans="1:12" ht="15.75" thickBot="1" x14ac:dyDescent="0.3">
      <c r="A553" s="10" t="s">
        <v>1028</v>
      </c>
      <c r="B553" s="11" t="s">
        <v>120</v>
      </c>
      <c r="C553" s="11" t="s">
        <v>25</v>
      </c>
      <c r="D553" s="11"/>
      <c r="E553" s="11"/>
      <c r="F553" s="12">
        <v>5</v>
      </c>
      <c r="G553" s="12">
        <v>107.5</v>
      </c>
      <c r="H553" s="11" t="s">
        <v>27</v>
      </c>
      <c r="I553" s="11" t="s">
        <v>16</v>
      </c>
      <c r="J553" s="12" t="s">
        <v>1029</v>
      </c>
      <c r="K553" s="13" t="b">
        <v>1</v>
      </c>
      <c r="L553" s="14" t="s">
        <v>35</v>
      </c>
    </row>
    <row r="554" spans="1:12" ht="45.75" thickBot="1" x14ac:dyDescent="0.3">
      <c r="A554" s="4" t="s">
        <v>1030</v>
      </c>
      <c r="B554" s="5" t="s">
        <v>74</v>
      </c>
      <c r="C554" s="5" t="s">
        <v>158</v>
      </c>
      <c r="D554" s="5" t="s">
        <v>168</v>
      </c>
      <c r="E554" s="6">
        <v>11</v>
      </c>
      <c r="F554" s="6">
        <v>5</v>
      </c>
      <c r="G554" s="6">
        <v>55</v>
      </c>
      <c r="H554" s="5" t="s">
        <v>27</v>
      </c>
      <c r="I554" s="5" t="s">
        <v>16</v>
      </c>
      <c r="J554" s="6" t="s">
        <v>728</v>
      </c>
      <c r="K554" s="8" t="b">
        <v>0</v>
      </c>
      <c r="L554" s="9" t="s">
        <v>32</v>
      </c>
    </row>
    <row r="555" spans="1:12" ht="15.75" thickBot="1" x14ac:dyDescent="0.3">
      <c r="A555" s="10" t="s">
        <v>1031</v>
      </c>
      <c r="B555" s="11" t="s">
        <v>71</v>
      </c>
      <c r="C555" s="11" t="s">
        <v>20</v>
      </c>
      <c r="D555" s="11" t="s">
        <v>340</v>
      </c>
      <c r="E555" s="12">
        <v>35</v>
      </c>
      <c r="F555" s="12">
        <v>7</v>
      </c>
      <c r="G555" s="12">
        <v>245</v>
      </c>
      <c r="H555" s="11" t="s">
        <v>51</v>
      </c>
      <c r="I555" s="11" t="s">
        <v>39</v>
      </c>
      <c r="J555" s="15">
        <v>45179</v>
      </c>
      <c r="K555" s="11"/>
      <c r="L555" s="14" t="s">
        <v>17</v>
      </c>
    </row>
    <row r="556" spans="1:12" ht="15.75" thickBot="1" x14ac:dyDescent="0.3">
      <c r="A556" s="4" t="s">
        <v>1032</v>
      </c>
      <c r="B556" s="5" t="s">
        <v>41</v>
      </c>
      <c r="C556" s="5" t="s">
        <v>13</v>
      </c>
      <c r="D556" s="5" t="s">
        <v>14</v>
      </c>
      <c r="E556" s="6">
        <v>18.5</v>
      </c>
      <c r="F556" s="6">
        <v>6</v>
      </c>
      <c r="G556" s="6">
        <v>111</v>
      </c>
      <c r="H556" s="5" t="s">
        <v>15</v>
      </c>
      <c r="I556" s="5" t="s">
        <v>16</v>
      </c>
      <c r="J556" s="7">
        <v>44904</v>
      </c>
      <c r="K556" s="5"/>
      <c r="L556" s="9" t="s">
        <v>35</v>
      </c>
    </row>
    <row r="557" spans="1:12" ht="15.75" thickBot="1" x14ac:dyDescent="0.3">
      <c r="A557" s="10" t="s">
        <v>1033</v>
      </c>
      <c r="B557" s="11" t="s">
        <v>136</v>
      </c>
      <c r="C557" s="11" t="s">
        <v>20</v>
      </c>
      <c r="D557" s="11" t="s">
        <v>721</v>
      </c>
      <c r="E557" s="12">
        <v>23</v>
      </c>
      <c r="F557" s="12">
        <v>6</v>
      </c>
      <c r="G557" s="12">
        <v>138</v>
      </c>
      <c r="H557" s="11" t="s">
        <v>51</v>
      </c>
      <c r="I557" s="11" t="s">
        <v>16</v>
      </c>
      <c r="J557" s="12" t="s">
        <v>843</v>
      </c>
      <c r="K557" s="13" t="b">
        <v>0</v>
      </c>
      <c r="L557" s="14" t="s">
        <v>35</v>
      </c>
    </row>
    <row r="558" spans="1:12" ht="15.75" thickBot="1" x14ac:dyDescent="0.3">
      <c r="A558" s="4" t="s">
        <v>1034</v>
      </c>
      <c r="B558" s="5" t="s">
        <v>149</v>
      </c>
      <c r="C558" s="5" t="s">
        <v>42</v>
      </c>
      <c r="D558" s="5" t="s">
        <v>239</v>
      </c>
      <c r="E558" s="6">
        <v>20</v>
      </c>
      <c r="F558" s="6">
        <v>8</v>
      </c>
      <c r="G558" s="6">
        <v>160</v>
      </c>
      <c r="H558" s="5" t="s">
        <v>15</v>
      </c>
      <c r="I558" s="5" t="s">
        <v>16</v>
      </c>
      <c r="J558" s="7">
        <v>45113</v>
      </c>
      <c r="K558" s="8" t="b">
        <v>0</v>
      </c>
      <c r="L558" s="9" t="s">
        <v>35</v>
      </c>
    </row>
    <row r="559" spans="1:12" ht="15.75" thickBot="1" x14ac:dyDescent="0.3">
      <c r="A559" s="10" t="s">
        <v>1035</v>
      </c>
      <c r="B559" s="11" t="s">
        <v>71</v>
      </c>
      <c r="C559" s="11" t="s">
        <v>42</v>
      </c>
      <c r="D559" s="11" t="s">
        <v>239</v>
      </c>
      <c r="E559" s="12">
        <v>20</v>
      </c>
      <c r="F559" s="12">
        <v>8</v>
      </c>
      <c r="G559" s="12">
        <v>160</v>
      </c>
      <c r="H559" s="11" t="s">
        <v>51</v>
      </c>
      <c r="I559" s="11" t="s">
        <v>16</v>
      </c>
      <c r="J559" s="12" t="s">
        <v>1036</v>
      </c>
      <c r="K559" s="13" t="b">
        <v>1</v>
      </c>
      <c r="L559" s="14" t="s">
        <v>35</v>
      </c>
    </row>
    <row r="560" spans="1:12" ht="45.75" thickBot="1" x14ac:dyDescent="0.3">
      <c r="A560" s="4" t="s">
        <v>1037</v>
      </c>
      <c r="B560" s="5" t="s">
        <v>99</v>
      </c>
      <c r="C560" s="5" t="s">
        <v>75</v>
      </c>
      <c r="D560" s="5" t="s">
        <v>313</v>
      </c>
      <c r="E560" s="6">
        <v>15.5</v>
      </c>
      <c r="F560" s="6">
        <v>5</v>
      </c>
      <c r="G560" s="6">
        <v>77.5</v>
      </c>
      <c r="H560" s="5" t="s">
        <v>15</v>
      </c>
      <c r="I560" s="5" t="s">
        <v>39</v>
      </c>
      <c r="J560" s="6" t="s">
        <v>1038</v>
      </c>
      <c r="K560" s="8" t="b">
        <v>1</v>
      </c>
      <c r="L560" s="9" t="s">
        <v>32</v>
      </c>
    </row>
    <row r="561" spans="1:12" ht="45.75" thickBot="1" x14ac:dyDescent="0.3">
      <c r="A561" s="10" t="s">
        <v>1039</v>
      </c>
      <c r="B561" s="11" t="s">
        <v>41</v>
      </c>
      <c r="C561" s="11" t="s">
        <v>75</v>
      </c>
      <c r="D561" s="11" t="s">
        <v>552</v>
      </c>
      <c r="E561" s="12">
        <v>41</v>
      </c>
      <c r="F561" s="12">
        <v>5</v>
      </c>
      <c r="G561" s="12">
        <v>205</v>
      </c>
      <c r="H561" s="11" t="s">
        <v>15</v>
      </c>
      <c r="I561" s="11" t="s">
        <v>16</v>
      </c>
      <c r="J561" s="12" t="s">
        <v>1040</v>
      </c>
      <c r="K561" s="13" t="b">
        <v>1</v>
      </c>
      <c r="L561" s="14" t="s">
        <v>17</v>
      </c>
    </row>
    <row r="562" spans="1:12" ht="15.75" thickBot="1" x14ac:dyDescent="0.3">
      <c r="A562" s="4" t="s">
        <v>1041</v>
      </c>
      <c r="B562" s="5" t="s">
        <v>19</v>
      </c>
      <c r="C562" s="5" t="s">
        <v>25</v>
      </c>
      <c r="D562" s="5" t="s">
        <v>141</v>
      </c>
      <c r="E562" s="6">
        <v>36.5</v>
      </c>
      <c r="F562" s="6">
        <v>7</v>
      </c>
      <c r="G562" s="6">
        <v>255.5</v>
      </c>
      <c r="H562" s="5" t="s">
        <v>51</v>
      </c>
      <c r="I562" s="5" t="s">
        <v>39</v>
      </c>
      <c r="J562" s="6" t="s">
        <v>1042</v>
      </c>
      <c r="K562" s="8" t="b">
        <v>1</v>
      </c>
      <c r="L562" s="9" t="s">
        <v>17</v>
      </c>
    </row>
    <row r="563" spans="1:12" ht="15.75" thickBot="1" x14ac:dyDescent="0.3">
      <c r="A563" s="10" t="s">
        <v>1043</v>
      </c>
      <c r="B563" s="11" t="s">
        <v>29</v>
      </c>
      <c r="C563" s="11" t="s">
        <v>13</v>
      </c>
      <c r="D563" s="11" t="s">
        <v>212</v>
      </c>
      <c r="E563" s="12">
        <v>5</v>
      </c>
      <c r="F563" s="12">
        <v>8</v>
      </c>
      <c r="G563" s="12">
        <v>40</v>
      </c>
      <c r="H563" s="11" t="s">
        <v>27</v>
      </c>
      <c r="I563" s="11" t="s">
        <v>16</v>
      </c>
      <c r="J563" s="12" t="s">
        <v>1044</v>
      </c>
      <c r="K563" s="13" t="b">
        <v>0</v>
      </c>
      <c r="L563" s="14" t="s">
        <v>32</v>
      </c>
    </row>
    <row r="564" spans="1:12" ht="15.75" thickBot="1" x14ac:dyDescent="0.3">
      <c r="A564" s="4" t="s">
        <v>1045</v>
      </c>
      <c r="B564" s="5" t="s">
        <v>60</v>
      </c>
      <c r="C564" s="5" t="s">
        <v>49</v>
      </c>
      <c r="D564" s="5" t="s">
        <v>395</v>
      </c>
      <c r="E564" s="6">
        <v>23</v>
      </c>
      <c r="F564" s="6">
        <v>8</v>
      </c>
      <c r="G564" s="6">
        <v>184</v>
      </c>
      <c r="H564" s="5" t="s">
        <v>15</v>
      </c>
      <c r="I564" s="5" t="s">
        <v>16</v>
      </c>
      <c r="J564" s="7">
        <v>44604</v>
      </c>
      <c r="K564" s="5"/>
      <c r="L564" s="9" t="s">
        <v>35</v>
      </c>
    </row>
    <row r="565" spans="1:12" ht="45.75" thickBot="1" x14ac:dyDescent="0.3">
      <c r="A565" s="10" t="s">
        <v>1046</v>
      </c>
      <c r="B565" s="11" t="s">
        <v>86</v>
      </c>
      <c r="C565" s="11" t="s">
        <v>75</v>
      </c>
      <c r="D565" s="11" t="s">
        <v>866</v>
      </c>
      <c r="E565" s="12">
        <v>26</v>
      </c>
      <c r="F565" s="12">
        <v>7</v>
      </c>
      <c r="G565" s="12">
        <v>182</v>
      </c>
      <c r="H565" s="11" t="s">
        <v>51</v>
      </c>
      <c r="I565" s="11" t="s">
        <v>16</v>
      </c>
      <c r="J565" s="12" t="s">
        <v>1047</v>
      </c>
      <c r="K565" s="11"/>
      <c r="L565" s="14" t="s">
        <v>35</v>
      </c>
    </row>
    <row r="566" spans="1:12" ht="15.75" thickBot="1" x14ac:dyDescent="0.3">
      <c r="A566" s="4" t="s">
        <v>1048</v>
      </c>
      <c r="B566" s="5" t="s">
        <v>136</v>
      </c>
      <c r="C566" s="5" t="s">
        <v>20</v>
      </c>
      <c r="D566" s="5" t="s">
        <v>186</v>
      </c>
      <c r="E566" s="6">
        <v>12.5</v>
      </c>
      <c r="F566" s="6">
        <v>2</v>
      </c>
      <c r="G566" s="6">
        <v>25</v>
      </c>
      <c r="H566" s="5" t="s">
        <v>51</v>
      </c>
      <c r="I566" s="5" t="s">
        <v>39</v>
      </c>
      <c r="J566" s="6" t="s">
        <v>1049</v>
      </c>
      <c r="K566" s="8" t="b">
        <v>0</v>
      </c>
      <c r="L566" s="9" t="s">
        <v>32</v>
      </c>
    </row>
    <row r="567" spans="1:12" ht="15.75" thickBot="1" x14ac:dyDescent="0.3">
      <c r="A567" s="10" t="s">
        <v>1050</v>
      </c>
      <c r="B567" s="11" t="s">
        <v>206</v>
      </c>
      <c r="C567" s="11" t="s">
        <v>42</v>
      </c>
      <c r="D567" s="11" t="s">
        <v>95</v>
      </c>
      <c r="E567" s="12">
        <v>24.5</v>
      </c>
      <c r="F567" s="12">
        <v>7</v>
      </c>
      <c r="G567" s="12">
        <v>171.5</v>
      </c>
      <c r="H567" s="11" t="s">
        <v>51</v>
      </c>
      <c r="I567" s="11" t="s">
        <v>16</v>
      </c>
      <c r="J567" s="12" t="s">
        <v>1051</v>
      </c>
      <c r="K567" s="13" t="b">
        <v>1</v>
      </c>
      <c r="L567" s="14" t="s">
        <v>35</v>
      </c>
    </row>
    <row r="568" spans="1:12" ht="15.75" thickBot="1" x14ac:dyDescent="0.3">
      <c r="A568" s="4" t="s">
        <v>1052</v>
      </c>
      <c r="B568" s="5" t="s">
        <v>206</v>
      </c>
      <c r="C568" s="5" t="s">
        <v>13</v>
      </c>
      <c r="D568" s="5" t="s">
        <v>68</v>
      </c>
      <c r="E568" s="6">
        <v>29</v>
      </c>
      <c r="F568" s="6">
        <v>1</v>
      </c>
      <c r="G568" s="6">
        <v>29</v>
      </c>
      <c r="H568" s="5" t="s">
        <v>51</v>
      </c>
      <c r="I568" s="5" t="s">
        <v>16</v>
      </c>
      <c r="J568" s="6" t="s">
        <v>216</v>
      </c>
      <c r="K568" s="8" t="b">
        <v>0</v>
      </c>
      <c r="L568" s="9" t="s">
        <v>32</v>
      </c>
    </row>
    <row r="569" spans="1:12" ht="45.75" thickBot="1" x14ac:dyDescent="0.3">
      <c r="A569" s="10" t="s">
        <v>1053</v>
      </c>
      <c r="B569" s="11" t="s">
        <v>120</v>
      </c>
      <c r="C569" s="11" t="s">
        <v>75</v>
      </c>
      <c r="D569" s="11" t="s">
        <v>493</v>
      </c>
      <c r="E569" s="12">
        <v>29</v>
      </c>
      <c r="F569" s="12">
        <v>4</v>
      </c>
      <c r="G569" s="12">
        <v>116</v>
      </c>
      <c r="H569" s="11" t="s">
        <v>15</v>
      </c>
      <c r="I569" s="11" t="s">
        <v>39</v>
      </c>
      <c r="J569" s="12" t="s">
        <v>1054</v>
      </c>
      <c r="K569" s="13" t="b">
        <v>1</v>
      </c>
      <c r="L569" s="14" t="s">
        <v>35</v>
      </c>
    </row>
    <row r="570" spans="1:12" ht="15.75" thickBot="1" x14ac:dyDescent="0.3">
      <c r="A570" s="4" t="s">
        <v>1055</v>
      </c>
      <c r="B570" s="5" t="s">
        <v>140</v>
      </c>
      <c r="C570" s="5" t="s">
        <v>25</v>
      </c>
      <c r="D570" s="5"/>
      <c r="E570" s="5"/>
      <c r="F570" s="6">
        <v>1</v>
      </c>
      <c r="G570" s="6">
        <v>33.5</v>
      </c>
      <c r="H570" s="5" t="s">
        <v>51</v>
      </c>
      <c r="I570" s="5" t="s">
        <v>39</v>
      </c>
      <c r="J570" s="6" t="s">
        <v>1056</v>
      </c>
      <c r="K570" s="8" t="b">
        <v>1</v>
      </c>
      <c r="L570" s="9" t="s">
        <v>32</v>
      </c>
    </row>
    <row r="571" spans="1:12" ht="15.75" thickBot="1" x14ac:dyDescent="0.3">
      <c r="A571" s="10" t="s">
        <v>1057</v>
      </c>
      <c r="B571" s="11" t="s">
        <v>86</v>
      </c>
      <c r="C571" s="11" t="s">
        <v>25</v>
      </c>
      <c r="D571" s="11" t="s">
        <v>762</v>
      </c>
      <c r="E571" s="12">
        <v>29</v>
      </c>
      <c r="F571" s="12">
        <v>1</v>
      </c>
      <c r="G571" s="12">
        <v>29</v>
      </c>
      <c r="H571" s="11" t="s">
        <v>15</v>
      </c>
      <c r="I571" s="11" t="s">
        <v>16</v>
      </c>
      <c r="J571" s="12" t="s">
        <v>1058</v>
      </c>
      <c r="K571" s="13" t="b">
        <v>1</v>
      </c>
      <c r="L571" s="14" t="s">
        <v>32</v>
      </c>
    </row>
    <row r="572" spans="1:12" ht="15.75" thickBot="1" x14ac:dyDescent="0.3">
      <c r="A572" s="4" t="s">
        <v>1059</v>
      </c>
      <c r="B572" s="5" t="s">
        <v>130</v>
      </c>
      <c r="C572" s="5" t="s">
        <v>42</v>
      </c>
      <c r="D572" s="5" t="s">
        <v>239</v>
      </c>
      <c r="E572" s="6">
        <v>20</v>
      </c>
      <c r="F572" s="6">
        <v>1</v>
      </c>
      <c r="G572" s="6">
        <v>20</v>
      </c>
      <c r="H572" s="5" t="s">
        <v>27</v>
      </c>
      <c r="I572" s="5" t="s">
        <v>39</v>
      </c>
      <c r="J572" s="6" t="s">
        <v>1060</v>
      </c>
      <c r="K572" s="5"/>
      <c r="L572" s="9" t="s">
        <v>32</v>
      </c>
    </row>
    <row r="573" spans="1:12" ht="15.75" thickBot="1" x14ac:dyDescent="0.3">
      <c r="A573" s="10" t="s">
        <v>1061</v>
      </c>
      <c r="B573" s="11" t="s">
        <v>74</v>
      </c>
      <c r="C573" s="11" t="s">
        <v>42</v>
      </c>
      <c r="D573" s="11" t="s">
        <v>362</v>
      </c>
      <c r="E573" s="12">
        <v>5</v>
      </c>
      <c r="F573" s="12">
        <v>5</v>
      </c>
      <c r="G573" s="12">
        <v>25</v>
      </c>
      <c r="H573" s="11" t="s">
        <v>27</v>
      </c>
      <c r="I573" s="11" t="s">
        <v>16</v>
      </c>
      <c r="J573" s="12" t="s">
        <v>373</v>
      </c>
      <c r="K573" s="13" t="b">
        <v>1</v>
      </c>
      <c r="L573" s="14" t="s">
        <v>32</v>
      </c>
    </row>
    <row r="574" spans="1:12" ht="15.75" thickBot="1" x14ac:dyDescent="0.3">
      <c r="A574" s="4" t="s">
        <v>1062</v>
      </c>
      <c r="B574" s="5" t="s">
        <v>29</v>
      </c>
      <c r="C574" s="5" t="s">
        <v>42</v>
      </c>
      <c r="D574" s="5" t="s">
        <v>449</v>
      </c>
      <c r="E574" s="6">
        <v>29</v>
      </c>
      <c r="F574" s="6">
        <v>2</v>
      </c>
      <c r="G574" s="6">
        <v>58</v>
      </c>
      <c r="H574" s="5" t="s">
        <v>51</v>
      </c>
      <c r="I574" s="5" t="s">
        <v>16</v>
      </c>
      <c r="J574" s="7">
        <v>45261</v>
      </c>
      <c r="K574" s="8" t="b">
        <v>0</v>
      </c>
      <c r="L574" s="9" t="s">
        <v>32</v>
      </c>
    </row>
    <row r="575" spans="1:12" ht="15.75" thickBot="1" x14ac:dyDescent="0.3">
      <c r="A575" s="10" t="s">
        <v>1063</v>
      </c>
      <c r="B575" s="11" t="s">
        <v>120</v>
      </c>
      <c r="C575" s="11" t="s">
        <v>20</v>
      </c>
      <c r="D575" s="11" t="s">
        <v>451</v>
      </c>
      <c r="E575" s="12">
        <v>26</v>
      </c>
      <c r="F575" s="12">
        <v>2</v>
      </c>
      <c r="G575" s="12">
        <v>52</v>
      </c>
      <c r="H575" s="11" t="s">
        <v>51</v>
      </c>
      <c r="I575" s="11" t="s">
        <v>39</v>
      </c>
      <c r="J575" s="12" t="s">
        <v>265</v>
      </c>
      <c r="K575" s="13" t="b">
        <v>1</v>
      </c>
      <c r="L575" s="14" t="s">
        <v>32</v>
      </c>
    </row>
    <row r="576" spans="1:12" ht="45.75" thickBot="1" x14ac:dyDescent="0.3">
      <c r="A576" s="4" t="s">
        <v>1064</v>
      </c>
      <c r="B576" s="5" t="s">
        <v>12</v>
      </c>
      <c r="C576" s="5" t="s">
        <v>158</v>
      </c>
      <c r="D576" s="5" t="s">
        <v>422</v>
      </c>
      <c r="E576" s="6">
        <v>30.5</v>
      </c>
      <c r="F576" s="6">
        <v>9</v>
      </c>
      <c r="G576" s="6">
        <v>274.5</v>
      </c>
      <c r="H576" s="5" t="s">
        <v>51</v>
      </c>
      <c r="I576" s="5" t="s">
        <v>39</v>
      </c>
      <c r="J576" s="6" t="s">
        <v>1065</v>
      </c>
      <c r="K576" s="8" t="b">
        <v>1</v>
      </c>
      <c r="L576" s="9" t="s">
        <v>17</v>
      </c>
    </row>
    <row r="577" spans="1:12" ht="15.75" thickBot="1" x14ac:dyDescent="0.3">
      <c r="A577" s="10" t="s">
        <v>1066</v>
      </c>
      <c r="B577" s="11" t="s">
        <v>99</v>
      </c>
      <c r="C577" s="11" t="s">
        <v>20</v>
      </c>
      <c r="D577" s="11" t="s">
        <v>890</v>
      </c>
      <c r="E577" s="12">
        <v>30.5</v>
      </c>
      <c r="F577" s="12">
        <v>7</v>
      </c>
      <c r="G577" s="12">
        <v>213.5</v>
      </c>
      <c r="H577" s="11" t="s">
        <v>27</v>
      </c>
      <c r="I577" s="11" t="s">
        <v>39</v>
      </c>
      <c r="J577" s="15">
        <v>45026</v>
      </c>
      <c r="K577" s="13" t="b">
        <v>1</v>
      </c>
      <c r="L577" s="14" t="s">
        <v>17</v>
      </c>
    </row>
    <row r="578" spans="1:12" ht="15.75" thickBot="1" x14ac:dyDescent="0.3">
      <c r="A578" s="4" t="s">
        <v>1067</v>
      </c>
      <c r="B578" s="5" t="s">
        <v>117</v>
      </c>
      <c r="C578" s="5" t="s">
        <v>49</v>
      </c>
      <c r="D578" s="5" t="s">
        <v>50</v>
      </c>
      <c r="E578" s="6">
        <v>36.5</v>
      </c>
      <c r="F578" s="6">
        <v>10</v>
      </c>
      <c r="G578" s="6">
        <v>365</v>
      </c>
      <c r="H578" s="5" t="s">
        <v>15</v>
      </c>
      <c r="I578" s="5" t="s">
        <v>39</v>
      </c>
      <c r="J578" s="6" t="s">
        <v>1068</v>
      </c>
      <c r="K578" s="8" t="b">
        <v>1</v>
      </c>
      <c r="L578" s="9" t="s">
        <v>17</v>
      </c>
    </row>
    <row r="579" spans="1:12" ht="45.75" thickBot="1" x14ac:dyDescent="0.3">
      <c r="A579" s="10" t="s">
        <v>1069</v>
      </c>
      <c r="B579" s="11" t="s">
        <v>19</v>
      </c>
      <c r="C579" s="11" t="s">
        <v>75</v>
      </c>
      <c r="D579" s="11" t="s">
        <v>121</v>
      </c>
      <c r="E579" s="12">
        <v>35</v>
      </c>
      <c r="F579" s="12">
        <v>5</v>
      </c>
      <c r="G579" s="12">
        <v>175</v>
      </c>
      <c r="H579" s="11" t="s">
        <v>51</v>
      </c>
      <c r="I579" s="11" t="s">
        <v>39</v>
      </c>
      <c r="J579" s="12" t="s">
        <v>1070</v>
      </c>
      <c r="K579" s="13" t="b">
        <v>0</v>
      </c>
      <c r="L579" s="14" t="s">
        <v>35</v>
      </c>
    </row>
    <row r="580" spans="1:12" ht="15.75" thickBot="1" x14ac:dyDescent="0.3">
      <c r="A580" s="4" t="s">
        <v>1071</v>
      </c>
      <c r="B580" s="5" t="s">
        <v>78</v>
      </c>
      <c r="C580" s="5" t="s">
        <v>49</v>
      </c>
      <c r="D580" s="5" t="s">
        <v>560</v>
      </c>
      <c r="E580" s="6">
        <v>21.5</v>
      </c>
      <c r="F580" s="6">
        <v>5</v>
      </c>
      <c r="G580" s="6">
        <v>107.5</v>
      </c>
      <c r="H580" s="5" t="s">
        <v>51</v>
      </c>
      <c r="I580" s="5" t="s">
        <v>39</v>
      </c>
      <c r="J580" s="6" t="s">
        <v>676</v>
      </c>
      <c r="K580" s="8" t="b">
        <v>1</v>
      </c>
      <c r="L580" s="9" t="s">
        <v>35</v>
      </c>
    </row>
    <row r="581" spans="1:12" ht="15.75" thickBot="1" x14ac:dyDescent="0.3">
      <c r="A581" s="10" t="s">
        <v>1072</v>
      </c>
      <c r="B581" s="11" t="s">
        <v>60</v>
      </c>
      <c r="C581" s="11" t="s">
        <v>13</v>
      </c>
      <c r="D581" s="11" t="s">
        <v>1073</v>
      </c>
      <c r="E581" s="12">
        <v>38</v>
      </c>
      <c r="F581" s="12">
        <v>3</v>
      </c>
      <c r="G581" s="12">
        <v>114</v>
      </c>
      <c r="H581" s="11" t="s">
        <v>15</v>
      </c>
      <c r="I581" s="11" t="s">
        <v>16</v>
      </c>
      <c r="J581" s="12" t="s">
        <v>1074</v>
      </c>
      <c r="K581" s="13" t="b">
        <v>0</v>
      </c>
      <c r="L581" s="14" t="s">
        <v>35</v>
      </c>
    </row>
    <row r="582" spans="1:12" ht="15.75" thickBot="1" x14ac:dyDescent="0.3">
      <c r="A582" s="4" t="s">
        <v>1075</v>
      </c>
      <c r="B582" s="5" t="s">
        <v>44</v>
      </c>
      <c r="C582" s="5" t="s">
        <v>20</v>
      </c>
      <c r="D582" s="5" t="s">
        <v>172</v>
      </c>
      <c r="E582" s="6">
        <v>32</v>
      </c>
      <c r="F582" s="6">
        <v>6</v>
      </c>
      <c r="G582" s="6">
        <v>192</v>
      </c>
      <c r="H582" s="5" t="s">
        <v>27</v>
      </c>
      <c r="I582" s="5" t="s">
        <v>16</v>
      </c>
      <c r="J582" s="6" t="s">
        <v>1076</v>
      </c>
      <c r="K582" s="8" t="b">
        <v>1</v>
      </c>
      <c r="L582" s="9" t="s">
        <v>35</v>
      </c>
    </row>
    <row r="583" spans="1:12" ht="45.75" thickBot="1" x14ac:dyDescent="0.3">
      <c r="A583" s="10" t="s">
        <v>1077</v>
      </c>
      <c r="B583" s="11" t="s">
        <v>140</v>
      </c>
      <c r="C583" s="11" t="s">
        <v>75</v>
      </c>
      <c r="D583" s="11" t="s">
        <v>866</v>
      </c>
      <c r="E583" s="12">
        <v>26</v>
      </c>
      <c r="F583" s="12">
        <v>3</v>
      </c>
      <c r="G583" s="12">
        <v>78</v>
      </c>
      <c r="H583" s="11" t="s">
        <v>51</v>
      </c>
      <c r="I583" s="11" t="s">
        <v>39</v>
      </c>
      <c r="J583" s="12" t="s">
        <v>1078</v>
      </c>
      <c r="K583" s="11"/>
      <c r="L583" s="14" t="s">
        <v>32</v>
      </c>
    </row>
    <row r="584" spans="1:12" ht="15.75" thickBot="1" x14ac:dyDescent="0.3">
      <c r="A584" s="4" t="s">
        <v>1079</v>
      </c>
      <c r="B584" s="5" t="s">
        <v>60</v>
      </c>
      <c r="C584" s="5" t="s">
        <v>30</v>
      </c>
      <c r="D584" s="5" t="s">
        <v>660</v>
      </c>
      <c r="E584" s="6">
        <v>29</v>
      </c>
      <c r="F584" s="6">
        <v>7</v>
      </c>
      <c r="G584" s="6">
        <v>203</v>
      </c>
      <c r="H584" s="5" t="s">
        <v>27</v>
      </c>
      <c r="I584" s="5" t="s">
        <v>39</v>
      </c>
      <c r="J584" s="7">
        <v>44842</v>
      </c>
      <c r="K584" s="5"/>
      <c r="L584" s="9" t="s">
        <v>17</v>
      </c>
    </row>
    <row r="585" spans="1:12" ht="15.75" thickBot="1" x14ac:dyDescent="0.3">
      <c r="A585" s="10" t="s">
        <v>1080</v>
      </c>
      <c r="B585" s="11" t="s">
        <v>86</v>
      </c>
      <c r="C585" s="11" t="s">
        <v>20</v>
      </c>
      <c r="D585" s="11" t="s">
        <v>721</v>
      </c>
      <c r="E585" s="12">
        <v>23</v>
      </c>
      <c r="F585" s="12">
        <v>7</v>
      </c>
      <c r="G585" s="12">
        <v>161</v>
      </c>
      <c r="H585" s="11" t="s">
        <v>27</v>
      </c>
      <c r="I585" s="11" t="s">
        <v>39</v>
      </c>
      <c r="J585" s="15">
        <v>45149</v>
      </c>
      <c r="K585" s="11"/>
      <c r="L585" s="14" t="s">
        <v>35</v>
      </c>
    </row>
    <row r="586" spans="1:12" ht="15.75" thickBot="1" x14ac:dyDescent="0.3">
      <c r="A586" s="4" t="s">
        <v>1081</v>
      </c>
      <c r="B586" s="5" t="s">
        <v>149</v>
      </c>
      <c r="C586" s="5" t="s">
        <v>20</v>
      </c>
      <c r="D586" s="5" t="s">
        <v>510</v>
      </c>
      <c r="E586" s="6">
        <v>6.5</v>
      </c>
      <c r="F586" s="6">
        <v>10</v>
      </c>
      <c r="G586" s="6">
        <v>65</v>
      </c>
      <c r="H586" s="5" t="s">
        <v>27</v>
      </c>
      <c r="I586" s="5" t="s">
        <v>16</v>
      </c>
      <c r="J586" s="6" t="s">
        <v>1082</v>
      </c>
      <c r="K586" s="8" t="b">
        <v>1</v>
      </c>
      <c r="L586" s="9" t="s">
        <v>32</v>
      </c>
    </row>
    <row r="587" spans="1:12" ht="15.75" thickBot="1" x14ac:dyDescent="0.3">
      <c r="A587" s="10" t="s">
        <v>1083</v>
      </c>
      <c r="B587" s="11" t="s">
        <v>60</v>
      </c>
      <c r="C587" s="11" t="s">
        <v>30</v>
      </c>
      <c r="D587" s="11" t="s">
        <v>155</v>
      </c>
      <c r="E587" s="12">
        <v>21.5</v>
      </c>
      <c r="F587" s="12">
        <v>9</v>
      </c>
      <c r="G587" s="12">
        <v>193.5</v>
      </c>
      <c r="H587" s="11" t="s">
        <v>15</v>
      </c>
      <c r="I587" s="11" t="s">
        <v>16</v>
      </c>
      <c r="J587" s="15">
        <v>44692</v>
      </c>
      <c r="K587" s="13" t="b">
        <v>0</v>
      </c>
      <c r="L587" s="14" t="s">
        <v>35</v>
      </c>
    </row>
    <row r="588" spans="1:12" ht="15.75" thickBot="1" x14ac:dyDescent="0.3">
      <c r="A588" s="4" t="s">
        <v>1084</v>
      </c>
      <c r="B588" s="5" t="s">
        <v>19</v>
      </c>
      <c r="C588" s="5" t="s">
        <v>20</v>
      </c>
      <c r="D588" s="5" t="s">
        <v>21</v>
      </c>
      <c r="E588" s="6">
        <v>29</v>
      </c>
      <c r="F588" s="6">
        <v>2</v>
      </c>
      <c r="G588" s="6">
        <v>58</v>
      </c>
      <c r="H588" s="5" t="s">
        <v>15</v>
      </c>
      <c r="I588" s="5" t="s">
        <v>39</v>
      </c>
      <c r="J588" s="7">
        <v>44841</v>
      </c>
      <c r="K588" s="8" t="b">
        <v>0</v>
      </c>
      <c r="L588" s="9" t="s">
        <v>32</v>
      </c>
    </row>
    <row r="589" spans="1:12" ht="15.75" thickBot="1" x14ac:dyDescent="0.3">
      <c r="A589" s="10" t="s">
        <v>1085</v>
      </c>
      <c r="B589" s="11" t="s">
        <v>127</v>
      </c>
      <c r="C589" s="11" t="s">
        <v>49</v>
      </c>
      <c r="D589" s="11" t="s">
        <v>137</v>
      </c>
      <c r="E589" s="12">
        <v>38</v>
      </c>
      <c r="F589" s="12">
        <v>7</v>
      </c>
      <c r="G589" s="12">
        <v>266</v>
      </c>
      <c r="H589" s="11" t="s">
        <v>27</v>
      </c>
      <c r="I589" s="11" t="s">
        <v>39</v>
      </c>
      <c r="J589" s="15">
        <v>44685</v>
      </c>
      <c r="K589" s="13" t="b">
        <v>0</v>
      </c>
      <c r="L589" s="14" t="s">
        <v>17</v>
      </c>
    </row>
    <row r="590" spans="1:12" ht="15.75" thickBot="1" x14ac:dyDescent="0.3">
      <c r="A590" s="4" t="s">
        <v>1086</v>
      </c>
      <c r="B590" s="5" t="s">
        <v>127</v>
      </c>
      <c r="C590" s="5" t="s">
        <v>42</v>
      </c>
      <c r="D590" s="5" t="s">
        <v>251</v>
      </c>
      <c r="E590" s="6">
        <v>39.5</v>
      </c>
      <c r="F590" s="6">
        <v>7</v>
      </c>
      <c r="G590" s="6">
        <v>276.5</v>
      </c>
      <c r="H590" s="5" t="s">
        <v>51</v>
      </c>
      <c r="I590" s="5" t="s">
        <v>39</v>
      </c>
      <c r="J590" s="6" t="s">
        <v>1087</v>
      </c>
      <c r="K590" s="8" t="b">
        <v>1</v>
      </c>
      <c r="L590" s="9" t="s">
        <v>17</v>
      </c>
    </row>
    <row r="591" spans="1:12" ht="45.75" thickBot="1" x14ac:dyDescent="0.3">
      <c r="A591" s="10" t="s">
        <v>1088</v>
      </c>
      <c r="B591" s="11" t="s">
        <v>48</v>
      </c>
      <c r="C591" s="11" t="s">
        <v>158</v>
      </c>
      <c r="D591" s="11" t="s">
        <v>439</v>
      </c>
      <c r="E591" s="12">
        <v>20</v>
      </c>
      <c r="F591" s="12">
        <v>7</v>
      </c>
      <c r="G591" s="12">
        <v>140</v>
      </c>
      <c r="H591" s="11" t="s">
        <v>27</v>
      </c>
      <c r="I591" s="11" t="s">
        <v>16</v>
      </c>
      <c r="J591" s="15">
        <v>44570</v>
      </c>
      <c r="K591" s="13" t="b">
        <v>0</v>
      </c>
      <c r="L591" s="14" t="s">
        <v>35</v>
      </c>
    </row>
    <row r="592" spans="1:12" ht="15.75" thickBot="1" x14ac:dyDescent="0.3">
      <c r="A592" s="4" t="s">
        <v>1089</v>
      </c>
      <c r="B592" s="5" t="s">
        <v>127</v>
      </c>
      <c r="C592" s="5" t="s">
        <v>42</v>
      </c>
      <c r="D592" s="5" t="s">
        <v>239</v>
      </c>
      <c r="E592" s="6">
        <v>20</v>
      </c>
      <c r="F592" s="6">
        <v>2</v>
      </c>
      <c r="G592" s="6">
        <v>40</v>
      </c>
      <c r="H592" s="5" t="s">
        <v>51</v>
      </c>
      <c r="I592" s="5" t="s">
        <v>16</v>
      </c>
      <c r="J592" s="6" t="s">
        <v>1090</v>
      </c>
      <c r="K592" s="8" t="b">
        <v>0</v>
      </c>
      <c r="L592" s="9" t="s">
        <v>32</v>
      </c>
    </row>
    <row r="593" spans="1:12" ht="15.75" thickBot="1" x14ac:dyDescent="0.3">
      <c r="A593" s="10" t="s">
        <v>1091</v>
      </c>
      <c r="B593" s="11" t="s">
        <v>60</v>
      </c>
      <c r="C593" s="11" t="s">
        <v>25</v>
      </c>
      <c r="D593" s="11" t="s">
        <v>134</v>
      </c>
      <c r="E593" s="12">
        <v>20</v>
      </c>
      <c r="F593" s="12">
        <v>1</v>
      </c>
      <c r="G593" s="12">
        <v>20</v>
      </c>
      <c r="H593" s="11" t="s">
        <v>15</v>
      </c>
      <c r="I593" s="11" t="s">
        <v>16</v>
      </c>
      <c r="J593" s="12" t="s">
        <v>756</v>
      </c>
      <c r="K593" s="13" t="b">
        <v>1</v>
      </c>
      <c r="L593" s="14" t="s">
        <v>32</v>
      </c>
    </row>
    <row r="594" spans="1:12" ht="15.75" thickBot="1" x14ac:dyDescent="0.3">
      <c r="A594" s="4" t="s">
        <v>1092</v>
      </c>
      <c r="B594" s="5" t="s">
        <v>74</v>
      </c>
      <c r="C594" s="5" t="s">
        <v>13</v>
      </c>
      <c r="D594" s="5" t="s">
        <v>110</v>
      </c>
      <c r="E594" s="6">
        <v>36.5</v>
      </c>
      <c r="F594" s="6">
        <v>2</v>
      </c>
      <c r="G594" s="6">
        <v>73</v>
      </c>
      <c r="H594" s="5" t="s">
        <v>51</v>
      </c>
      <c r="I594" s="5" t="s">
        <v>39</v>
      </c>
      <c r="J594" s="6" t="s">
        <v>1093</v>
      </c>
      <c r="K594" s="8" t="b">
        <v>0</v>
      </c>
      <c r="L594" s="9" t="s">
        <v>32</v>
      </c>
    </row>
    <row r="595" spans="1:12" ht="15.75" thickBot="1" x14ac:dyDescent="0.3">
      <c r="A595" s="10" t="s">
        <v>1094</v>
      </c>
      <c r="B595" s="11" t="s">
        <v>106</v>
      </c>
      <c r="C595" s="11" t="s">
        <v>42</v>
      </c>
      <c r="D595" s="11"/>
      <c r="E595" s="12">
        <v>9.5</v>
      </c>
      <c r="F595" s="11"/>
      <c r="G595" s="11"/>
      <c r="H595" s="11" t="s">
        <v>27</v>
      </c>
      <c r="I595" s="11" t="s">
        <v>16</v>
      </c>
      <c r="J595" s="12" t="s">
        <v>1095</v>
      </c>
      <c r="K595" s="13" t="b">
        <v>0</v>
      </c>
      <c r="L595" s="14" t="s">
        <v>32</v>
      </c>
    </row>
    <row r="596" spans="1:12" ht="15.75" thickBot="1" x14ac:dyDescent="0.3">
      <c r="A596" s="4" t="s">
        <v>1096</v>
      </c>
      <c r="B596" s="5" t="s">
        <v>71</v>
      </c>
      <c r="C596" s="5" t="s">
        <v>30</v>
      </c>
      <c r="D596" s="5" t="s">
        <v>1097</v>
      </c>
      <c r="E596" s="6">
        <v>26</v>
      </c>
      <c r="F596" s="6">
        <v>4</v>
      </c>
      <c r="G596" s="6">
        <v>104</v>
      </c>
      <c r="H596" s="5" t="s">
        <v>51</v>
      </c>
      <c r="I596" s="5" t="s">
        <v>16</v>
      </c>
      <c r="J596" s="6" t="s">
        <v>1098</v>
      </c>
      <c r="K596" s="8" t="b">
        <v>1</v>
      </c>
      <c r="L596" s="9" t="s">
        <v>35</v>
      </c>
    </row>
    <row r="597" spans="1:12" ht="15.75" thickBot="1" x14ac:dyDescent="0.3">
      <c r="A597" s="10" t="s">
        <v>1099</v>
      </c>
      <c r="B597" s="11" t="s">
        <v>120</v>
      </c>
      <c r="C597" s="11" t="s">
        <v>42</v>
      </c>
      <c r="D597" s="11" t="s">
        <v>951</v>
      </c>
      <c r="E597" s="12">
        <v>21.5</v>
      </c>
      <c r="F597" s="12">
        <v>5</v>
      </c>
      <c r="G597" s="12">
        <v>107.5</v>
      </c>
      <c r="H597" s="11" t="s">
        <v>51</v>
      </c>
      <c r="I597" s="11" t="s">
        <v>16</v>
      </c>
      <c r="J597" s="12" t="s">
        <v>1036</v>
      </c>
      <c r="K597" s="13" t="b">
        <v>1</v>
      </c>
      <c r="L597" s="14" t="s">
        <v>35</v>
      </c>
    </row>
    <row r="598" spans="1:12" ht="15.75" thickBot="1" x14ac:dyDescent="0.3">
      <c r="A598" s="4" t="s">
        <v>1100</v>
      </c>
      <c r="B598" s="5" t="s">
        <v>86</v>
      </c>
      <c r="C598" s="5" t="s">
        <v>20</v>
      </c>
      <c r="D598" s="5" t="s">
        <v>21</v>
      </c>
      <c r="E598" s="6">
        <v>29</v>
      </c>
      <c r="F598" s="6">
        <v>2</v>
      </c>
      <c r="G598" s="6">
        <v>58</v>
      </c>
      <c r="H598" s="5" t="s">
        <v>27</v>
      </c>
      <c r="I598" s="5" t="s">
        <v>39</v>
      </c>
      <c r="J598" s="7">
        <v>45363</v>
      </c>
      <c r="K598" s="8" t="b">
        <v>0</v>
      </c>
      <c r="L598" s="9" t="s">
        <v>32</v>
      </c>
    </row>
    <row r="599" spans="1:12" ht="15.75" thickBot="1" x14ac:dyDescent="0.3">
      <c r="A599" s="10" t="s">
        <v>1101</v>
      </c>
      <c r="B599" s="11" t="s">
        <v>130</v>
      </c>
      <c r="C599" s="11" t="s">
        <v>25</v>
      </c>
      <c r="D599" s="11" t="s">
        <v>330</v>
      </c>
      <c r="E599" s="12">
        <v>33.5</v>
      </c>
      <c r="F599" s="12">
        <v>6</v>
      </c>
      <c r="G599" s="12">
        <v>201</v>
      </c>
      <c r="H599" s="11" t="s">
        <v>27</v>
      </c>
      <c r="I599" s="11" t="s">
        <v>16</v>
      </c>
      <c r="J599" s="12" t="s">
        <v>341</v>
      </c>
      <c r="K599" s="13" t="b">
        <v>0</v>
      </c>
      <c r="L599" s="14" t="s">
        <v>17</v>
      </c>
    </row>
    <row r="600" spans="1:12" ht="45.75" thickBot="1" x14ac:dyDescent="0.3">
      <c r="A600" s="4" t="s">
        <v>1102</v>
      </c>
      <c r="B600" s="5" t="s">
        <v>71</v>
      </c>
      <c r="C600" s="5" t="s">
        <v>158</v>
      </c>
      <c r="D600" s="5" t="s">
        <v>228</v>
      </c>
      <c r="E600" s="6">
        <v>33.5</v>
      </c>
      <c r="F600" s="6">
        <v>7</v>
      </c>
      <c r="G600" s="6">
        <v>234.5</v>
      </c>
      <c r="H600" s="5" t="s">
        <v>27</v>
      </c>
      <c r="I600" s="5" t="s">
        <v>39</v>
      </c>
      <c r="J600" s="6" t="s">
        <v>1103</v>
      </c>
      <c r="K600" s="8" t="b">
        <v>1</v>
      </c>
      <c r="L600" s="9" t="s">
        <v>17</v>
      </c>
    </row>
    <row r="601" spans="1:12" ht="15.75" thickBot="1" x14ac:dyDescent="0.3">
      <c r="A601" s="10" t="s">
        <v>1104</v>
      </c>
      <c r="B601" s="11" t="s">
        <v>48</v>
      </c>
      <c r="C601" s="11" t="s">
        <v>30</v>
      </c>
      <c r="D601" s="11" t="s">
        <v>660</v>
      </c>
      <c r="E601" s="12">
        <v>29</v>
      </c>
      <c r="F601" s="12">
        <v>3</v>
      </c>
      <c r="G601" s="12">
        <v>87</v>
      </c>
      <c r="H601" s="11" t="s">
        <v>15</v>
      </c>
      <c r="I601" s="11" t="s">
        <v>39</v>
      </c>
      <c r="J601" s="12" t="s">
        <v>1105</v>
      </c>
      <c r="K601" s="11"/>
      <c r="L601" s="14" t="s">
        <v>32</v>
      </c>
    </row>
    <row r="602" spans="1:12" ht="15.75" thickBot="1" x14ac:dyDescent="0.3">
      <c r="A602" s="4" t="s">
        <v>1106</v>
      </c>
      <c r="B602" s="5" t="s">
        <v>37</v>
      </c>
      <c r="C602" s="5" t="s">
        <v>30</v>
      </c>
      <c r="D602" s="5" t="s">
        <v>1107</v>
      </c>
      <c r="E602" s="6">
        <v>15.5</v>
      </c>
      <c r="F602" s="6">
        <v>6</v>
      </c>
      <c r="G602" s="6">
        <v>93</v>
      </c>
      <c r="H602" s="5" t="s">
        <v>27</v>
      </c>
      <c r="I602" s="5" t="s">
        <v>39</v>
      </c>
      <c r="J602" s="6" t="s">
        <v>1108</v>
      </c>
      <c r="K602" s="8" t="b">
        <v>1</v>
      </c>
      <c r="L602" s="9" t="s">
        <v>32</v>
      </c>
    </row>
    <row r="603" spans="1:12" ht="45.75" thickBot="1" x14ac:dyDescent="0.3">
      <c r="A603" s="10" t="s">
        <v>1109</v>
      </c>
      <c r="B603" s="11" t="s">
        <v>44</v>
      </c>
      <c r="C603" s="11" t="s">
        <v>158</v>
      </c>
      <c r="D603" s="11" t="s">
        <v>182</v>
      </c>
      <c r="E603" s="12">
        <v>26</v>
      </c>
      <c r="F603" s="12">
        <v>4</v>
      </c>
      <c r="G603" s="12">
        <v>104</v>
      </c>
      <c r="H603" s="11" t="s">
        <v>15</v>
      </c>
      <c r="I603" s="11" t="s">
        <v>39</v>
      </c>
      <c r="J603" s="15">
        <v>45605</v>
      </c>
      <c r="K603" s="13" t="b">
        <v>1</v>
      </c>
      <c r="L603" s="14" t="s">
        <v>35</v>
      </c>
    </row>
    <row r="604" spans="1:12" ht="15.75" thickBot="1" x14ac:dyDescent="0.3">
      <c r="A604" s="4" t="s">
        <v>1110</v>
      </c>
      <c r="B604" s="5" t="s">
        <v>78</v>
      </c>
      <c r="C604" s="5" t="s">
        <v>30</v>
      </c>
      <c r="D604" s="5" t="s">
        <v>152</v>
      </c>
      <c r="E604" s="6">
        <v>8</v>
      </c>
      <c r="F604" s="6">
        <v>7</v>
      </c>
      <c r="G604" s="6">
        <v>56</v>
      </c>
      <c r="H604" s="5" t="s">
        <v>51</v>
      </c>
      <c r="I604" s="5" t="s">
        <v>16</v>
      </c>
      <c r="J604" s="6" t="s">
        <v>1111</v>
      </c>
      <c r="K604" s="8" t="b">
        <v>0</v>
      </c>
      <c r="L604" s="9" t="s">
        <v>32</v>
      </c>
    </row>
    <row r="605" spans="1:12" ht="15.75" thickBot="1" x14ac:dyDescent="0.3">
      <c r="A605" s="10" t="s">
        <v>1112</v>
      </c>
      <c r="B605" s="11" t="s">
        <v>99</v>
      </c>
      <c r="C605" s="11" t="s">
        <v>30</v>
      </c>
      <c r="D605" s="11" t="s">
        <v>256</v>
      </c>
      <c r="E605" s="12">
        <v>9.5</v>
      </c>
      <c r="F605" s="12">
        <v>3</v>
      </c>
      <c r="G605" s="12">
        <v>28.5</v>
      </c>
      <c r="H605" s="11" t="s">
        <v>27</v>
      </c>
      <c r="I605" s="11" t="s">
        <v>39</v>
      </c>
      <c r="J605" s="12" t="s">
        <v>277</v>
      </c>
      <c r="K605" s="13" t="b">
        <v>1</v>
      </c>
      <c r="L605" s="14" t="s">
        <v>32</v>
      </c>
    </row>
    <row r="606" spans="1:12" ht="45.75" thickBot="1" x14ac:dyDescent="0.3">
      <c r="A606" s="4" t="s">
        <v>1113</v>
      </c>
      <c r="B606" s="5" t="s">
        <v>44</v>
      </c>
      <c r="C606" s="5" t="s">
        <v>158</v>
      </c>
      <c r="D606" s="5" t="s">
        <v>837</v>
      </c>
      <c r="E606" s="6">
        <v>21.5</v>
      </c>
      <c r="F606" s="6">
        <v>4</v>
      </c>
      <c r="G606" s="6">
        <v>86</v>
      </c>
      <c r="H606" s="5" t="s">
        <v>51</v>
      </c>
      <c r="I606" s="5" t="s">
        <v>16</v>
      </c>
      <c r="J606" s="7">
        <v>45392</v>
      </c>
      <c r="K606" s="5"/>
      <c r="L606" s="9" t="s">
        <v>32</v>
      </c>
    </row>
    <row r="607" spans="1:12" ht="15.75" thickBot="1" x14ac:dyDescent="0.3">
      <c r="A607" s="10" t="s">
        <v>1114</v>
      </c>
      <c r="B607" s="11" t="s">
        <v>78</v>
      </c>
      <c r="C607" s="11" t="s">
        <v>20</v>
      </c>
      <c r="D607" s="11" t="s">
        <v>264</v>
      </c>
      <c r="E607" s="12">
        <v>9.5</v>
      </c>
      <c r="F607" s="12">
        <v>7</v>
      </c>
      <c r="G607" s="12">
        <v>66.5</v>
      </c>
      <c r="H607" s="11" t="s">
        <v>15</v>
      </c>
      <c r="I607" s="11" t="s">
        <v>39</v>
      </c>
      <c r="J607" s="12" t="s">
        <v>173</v>
      </c>
      <c r="K607" s="11"/>
      <c r="L607" s="14" t="s">
        <v>32</v>
      </c>
    </row>
    <row r="608" spans="1:12" ht="15.75" thickBot="1" x14ac:dyDescent="0.3">
      <c r="A608" s="4" t="s">
        <v>1115</v>
      </c>
      <c r="B608" s="5" t="s">
        <v>60</v>
      </c>
      <c r="C608" s="5" t="s">
        <v>49</v>
      </c>
      <c r="D608" s="5" t="s">
        <v>736</v>
      </c>
      <c r="E608" s="6">
        <v>11</v>
      </c>
      <c r="F608" s="6">
        <v>5</v>
      </c>
      <c r="G608" s="6">
        <v>55</v>
      </c>
      <c r="H608" s="5" t="s">
        <v>51</v>
      </c>
      <c r="I608" s="5" t="s">
        <v>16</v>
      </c>
      <c r="J608" s="6" t="s">
        <v>411</v>
      </c>
      <c r="K608" s="8" t="b">
        <v>1</v>
      </c>
      <c r="L608" s="9" t="s">
        <v>32</v>
      </c>
    </row>
    <row r="609" spans="1:12" ht="15.75" thickBot="1" x14ac:dyDescent="0.3">
      <c r="A609" s="10" t="s">
        <v>1116</v>
      </c>
      <c r="B609" s="11" t="s">
        <v>130</v>
      </c>
      <c r="C609" s="11" t="s">
        <v>25</v>
      </c>
      <c r="D609" s="11" t="s">
        <v>150</v>
      </c>
      <c r="E609" s="12">
        <v>15.5</v>
      </c>
      <c r="F609" s="12">
        <v>6</v>
      </c>
      <c r="G609" s="12">
        <v>93</v>
      </c>
      <c r="H609" s="11" t="s">
        <v>27</v>
      </c>
      <c r="I609" s="11" t="s">
        <v>39</v>
      </c>
      <c r="J609" s="15">
        <v>45145</v>
      </c>
      <c r="K609" s="11"/>
      <c r="L609" s="14" t="s">
        <v>32</v>
      </c>
    </row>
    <row r="610" spans="1:12" ht="45.75" thickBot="1" x14ac:dyDescent="0.3">
      <c r="A610" s="4" t="s">
        <v>1117</v>
      </c>
      <c r="B610" s="5" t="s">
        <v>117</v>
      </c>
      <c r="C610" s="5" t="s">
        <v>75</v>
      </c>
      <c r="D610" s="5" t="s">
        <v>272</v>
      </c>
      <c r="E610" s="6">
        <v>12.5</v>
      </c>
      <c r="F610" s="6">
        <v>2</v>
      </c>
      <c r="G610" s="6">
        <v>25</v>
      </c>
      <c r="H610" s="5" t="s">
        <v>51</v>
      </c>
      <c r="I610" s="5" t="s">
        <v>16</v>
      </c>
      <c r="J610" s="7">
        <v>45263</v>
      </c>
      <c r="K610" s="8" t="b">
        <v>0</v>
      </c>
      <c r="L610" s="9" t="s">
        <v>32</v>
      </c>
    </row>
    <row r="611" spans="1:12" ht="15.75" thickBot="1" x14ac:dyDescent="0.3">
      <c r="A611" s="10" t="s">
        <v>1118</v>
      </c>
      <c r="B611" s="11" t="s">
        <v>117</v>
      </c>
      <c r="C611" s="11" t="s">
        <v>42</v>
      </c>
      <c r="D611" s="11" t="s">
        <v>296</v>
      </c>
      <c r="E611" s="12">
        <v>11</v>
      </c>
      <c r="F611" s="12">
        <v>5</v>
      </c>
      <c r="G611" s="12">
        <v>55</v>
      </c>
      <c r="H611" s="11" t="s">
        <v>27</v>
      </c>
      <c r="I611" s="11" t="s">
        <v>39</v>
      </c>
      <c r="J611" s="12" t="s">
        <v>487</v>
      </c>
      <c r="K611" s="13" t="b">
        <v>1</v>
      </c>
      <c r="L611" s="14" t="s">
        <v>32</v>
      </c>
    </row>
    <row r="612" spans="1:12" ht="15.75" thickBot="1" x14ac:dyDescent="0.3">
      <c r="A612" s="4" t="s">
        <v>1119</v>
      </c>
      <c r="B612" s="5" t="s">
        <v>106</v>
      </c>
      <c r="C612" s="5" t="s">
        <v>49</v>
      </c>
      <c r="D612" s="5" t="s">
        <v>100</v>
      </c>
      <c r="E612" s="6">
        <v>33.5</v>
      </c>
      <c r="F612" s="6">
        <v>2</v>
      </c>
      <c r="G612" s="6">
        <v>67</v>
      </c>
      <c r="H612" s="5" t="s">
        <v>51</v>
      </c>
      <c r="I612" s="5" t="s">
        <v>39</v>
      </c>
      <c r="J612" s="7">
        <v>45300</v>
      </c>
      <c r="K612" s="8" t="b">
        <v>1</v>
      </c>
      <c r="L612" s="9" t="s">
        <v>32</v>
      </c>
    </row>
    <row r="613" spans="1:12" ht="15.75" thickBot="1" x14ac:dyDescent="0.3">
      <c r="A613" s="10" t="s">
        <v>1120</v>
      </c>
      <c r="B613" s="11" t="s">
        <v>206</v>
      </c>
      <c r="C613" s="11" t="s">
        <v>49</v>
      </c>
      <c r="D613" s="11" t="s">
        <v>288</v>
      </c>
      <c r="E613" s="12">
        <v>15.5</v>
      </c>
      <c r="F613" s="12">
        <v>9</v>
      </c>
      <c r="G613" s="12">
        <v>139.5</v>
      </c>
      <c r="H613" s="11" t="s">
        <v>15</v>
      </c>
      <c r="I613" s="11" t="s">
        <v>16</v>
      </c>
      <c r="J613" s="15">
        <v>44684</v>
      </c>
      <c r="K613" s="13" t="b">
        <v>0</v>
      </c>
      <c r="L613" s="14" t="s">
        <v>35</v>
      </c>
    </row>
    <row r="614" spans="1:12" ht="15.75" thickBot="1" x14ac:dyDescent="0.3">
      <c r="A614" s="4" t="s">
        <v>1121</v>
      </c>
      <c r="B614" s="5" t="s">
        <v>48</v>
      </c>
      <c r="C614" s="5" t="s">
        <v>25</v>
      </c>
      <c r="D614" s="5" t="s">
        <v>978</v>
      </c>
      <c r="E614" s="6">
        <v>30.5</v>
      </c>
      <c r="F614" s="6">
        <v>1</v>
      </c>
      <c r="G614" s="6">
        <v>30.5</v>
      </c>
      <c r="H614" s="5" t="s">
        <v>15</v>
      </c>
      <c r="I614" s="5" t="s">
        <v>39</v>
      </c>
      <c r="J614" s="7">
        <v>45514</v>
      </c>
      <c r="K614" s="8" t="b">
        <v>0</v>
      </c>
      <c r="L614" s="9" t="s">
        <v>32</v>
      </c>
    </row>
    <row r="615" spans="1:12" ht="45.75" thickBot="1" x14ac:dyDescent="0.3">
      <c r="A615" s="10" t="s">
        <v>1122</v>
      </c>
      <c r="B615" s="11" t="s">
        <v>19</v>
      </c>
      <c r="C615" s="11" t="s">
        <v>158</v>
      </c>
      <c r="D615" s="11" t="s">
        <v>439</v>
      </c>
      <c r="E615" s="12">
        <v>20</v>
      </c>
      <c r="F615" s="12">
        <v>1</v>
      </c>
      <c r="G615" s="12">
        <v>20</v>
      </c>
      <c r="H615" s="11" t="s">
        <v>27</v>
      </c>
      <c r="I615" s="11" t="s">
        <v>16</v>
      </c>
      <c r="J615" s="12" t="s">
        <v>477</v>
      </c>
      <c r="K615" s="13" t="b">
        <v>0</v>
      </c>
      <c r="L615" s="14" t="s">
        <v>32</v>
      </c>
    </row>
    <row r="616" spans="1:12" ht="15.75" thickBot="1" x14ac:dyDescent="0.3">
      <c r="A616" s="4" t="s">
        <v>1123</v>
      </c>
      <c r="B616" s="5" t="s">
        <v>44</v>
      </c>
      <c r="C616" s="5" t="s">
        <v>30</v>
      </c>
      <c r="D616" s="5" t="s">
        <v>256</v>
      </c>
      <c r="E616" s="6">
        <v>9.5</v>
      </c>
      <c r="F616" s="6">
        <v>9</v>
      </c>
      <c r="G616" s="6">
        <v>85.5</v>
      </c>
      <c r="H616" s="5" t="s">
        <v>27</v>
      </c>
      <c r="I616" s="5" t="s">
        <v>39</v>
      </c>
      <c r="J616" s="7">
        <v>45577</v>
      </c>
      <c r="K616" s="8" t="b">
        <v>1</v>
      </c>
      <c r="L616" s="9" t="s">
        <v>32</v>
      </c>
    </row>
    <row r="617" spans="1:12" ht="15.75" thickBot="1" x14ac:dyDescent="0.3">
      <c r="A617" s="10" t="s">
        <v>1124</v>
      </c>
      <c r="B617" s="11" t="s">
        <v>206</v>
      </c>
      <c r="C617" s="11" t="s">
        <v>42</v>
      </c>
      <c r="D617" s="11" t="s">
        <v>95</v>
      </c>
      <c r="E617" s="12">
        <v>24.5</v>
      </c>
      <c r="F617" s="12">
        <v>2</v>
      </c>
      <c r="G617" s="12">
        <v>49</v>
      </c>
      <c r="H617" s="11" t="s">
        <v>15</v>
      </c>
      <c r="I617" s="11" t="s">
        <v>39</v>
      </c>
      <c r="J617" s="12" t="s">
        <v>834</v>
      </c>
      <c r="K617" s="11"/>
      <c r="L617" s="14" t="s">
        <v>32</v>
      </c>
    </row>
    <row r="618" spans="1:12" ht="15.75" thickBot="1" x14ac:dyDescent="0.3">
      <c r="A618" s="4" t="s">
        <v>1125</v>
      </c>
      <c r="B618" s="5" t="s">
        <v>130</v>
      </c>
      <c r="C618" s="5" t="s">
        <v>25</v>
      </c>
      <c r="D618" s="5" t="s">
        <v>330</v>
      </c>
      <c r="E618" s="6">
        <v>33.5</v>
      </c>
      <c r="F618" s="6">
        <v>5</v>
      </c>
      <c r="G618" s="6">
        <v>167.5</v>
      </c>
      <c r="H618" s="5" t="s">
        <v>15</v>
      </c>
      <c r="I618" s="5" t="s">
        <v>16</v>
      </c>
      <c r="J618" s="7">
        <v>45597</v>
      </c>
      <c r="K618" s="8" t="b">
        <v>0</v>
      </c>
      <c r="L618" s="9" t="s">
        <v>35</v>
      </c>
    </row>
    <row r="619" spans="1:12" ht="15.75" thickBot="1" x14ac:dyDescent="0.3">
      <c r="A619" s="10" t="s">
        <v>1126</v>
      </c>
      <c r="B619" s="11" t="s">
        <v>12</v>
      </c>
      <c r="C619" s="11" t="s">
        <v>49</v>
      </c>
      <c r="D619" s="11" t="s">
        <v>100</v>
      </c>
      <c r="E619" s="12">
        <v>33.5</v>
      </c>
      <c r="F619" s="12">
        <v>2</v>
      </c>
      <c r="G619" s="12">
        <v>67</v>
      </c>
      <c r="H619" s="11" t="s">
        <v>27</v>
      </c>
      <c r="I619" s="11" t="s">
        <v>39</v>
      </c>
      <c r="J619" s="15">
        <v>45263</v>
      </c>
      <c r="K619" s="13" t="b">
        <v>0</v>
      </c>
      <c r="L619" s="14" t="s">
        <v>32</v>
      </c>
    </row>
    <row r="620" spans="1:12" ht="15.75" thickBot="1" x14ac:dyDescent="0.3">
      <c r="A620" s="4" t="s">
        <v>1127</v>
      </c>
      <c r="B620" s="5" t="s">
        <v>136</v>
      </c>
      <c r="C620" s="5" t="s">
        <v>25</v>
      </c>
      <c r="D620" s="5" t="s">
        <v>134</v>
      </c>
      <c r="E620" s="6">
        <v>20</v>
      </c>
      <c r="F620" s="6">
        <v>3</v>
      </c>
      <c r="G620" s="6">
        <v>60</v>
      </c>
      <c r="H620" s="5" t="s">
        <v>27</v>
      </c>
      <c r="I620" s="5" t="s">
        <v>16</v>
      </c>
      <c r="J620" s="6" t="s">
        <v>754</v>
      </c>
      <c r="K620" s="8" t="b">
        <v>1</v>
      </c>
      <c r="L620" s="9" t="s">
        <v>32</v>
      </c>
    </row>
    <row r="621" spans="1:12" ht="15.75" thickBot="1" x14ac:dyDescent="0.3">
      <c r="A621" s="10" t="s">
        <v>1128</v>
      </c>
      <c r="B621" s="11" t="s">
        <v>29</v>
      </c>
      <c r="C621" s="11" t="s">
        <v>25</v>
      </c>
      <c r="D621" s="11" t="s">
        <v>150</v>
      </c>
      <c r="E621" s="12">
        <v>15.5</v>
      </c>
      <c r="F621" s="12">
        <v>4</v>
      </c>
      <c r="G621" s="12">
        <v>62</v>
      </c>
      <c r="H621" s="11" t="s">
        <v>51</v>
      </c>
      <c r="I621" s="11" t="s">
        <v>39</v>
      </c>
      <c r="J621" s="15">
        <v>45080</v>
      </c>
      <c r="K621" s="13" t="b">
        <v>0</v>
      </c>
      <c r="L621" s="14" t="s">
        <v>32</v>
      </c>
    </row>
    <row r="622" spans="1:12" ht="15.75" thickBot="1" x14ac:dyDescent="0.3">
      <c r="A622" s="4" t="s">
        <v>1129</v>
      </c>
      <c r="B622" s="5" t="s">
        <v>94</v>
      </c>
      <c r="C622" s="5" t="s">
        <v>30</v>
      </c>
      <c r="D622" s="5" t="s">
        <v>31</v>
      </c>
      <c r="E622" s="6">
        <v>12.5</v>
      </c>
      <c r="F622" s="6">
        <v>5</v>
      </c>
      <c r="G622" s="6">
        <v>62.5</v>
      </c>
      <c r="H622" s="5" t="s">
        <v>27</v>
      </c>
      <c r="I622" s="5" t="s">
        <v>39</v>
      </c>
      <c r="J622" s="7">
        <v>44716</v>
      </c>
      <c r="K622" s="8" t="b">
        <v>0</v>
      </c>
      <c r="L622" s="9" t="s">
        <v>32</v>
      </c>
    </row>
    <row r="623" spans="1:12" ht="15.75" thickBot="1" x14ac:dyDescent="0.3">
      <c r="A623" s="10" t="s">
        <v>1130</v>
      </c>
      <c r="B623" s="11" t="s">
        <v>37</v>
      </c>
      <c r="C623" s="11" t="s">
        <v>42</v>
      </c>
      <c r="D623" s="11" t="s">
        <v>296</v>
      </c>
      <c r="E623" s="12">
        <v>11</v>
      </c>
      <c r="F623" s="12">
        <v>5</v>
      </c>
      <c r="G623" s="12">
        <v>55</v>
      </c>
      <c r="H623" s="11" t="s">
        <v>27</v>
      </c>
      <c r="I623" s="11" t="s">
        <v>39</v>
      </c>
      <c r="J623" s="12" t="s">
        <v>1131</v>
      </c>
      <c r="K623" s="11"/>
      <c r="L623" s="14" t="s">
        <v>32</v>
      </c>
    </row>
    <row r="624" spans="1:12" ht="15.75" thickBot="1" x14ac:dyDescent="0.3">
      <c r="A624" s="4" t="s">
        <v>1132</v>
      </c>
      <c r="B624" s="5" t="s">
        <v>90</v>
      </c>
      <c r="C624" s="5" t="s">
        <v>30</v>
      </c>
      <c r="D624" s="5" t="s">
        <v>31</v>
      </c>
      <c r="E624" s="6">
        <v>12.5</v>
      </c>
      <c r="F624" s="6">
        <v>3</v>
      </c>
      <c r="G624" s="6">
        <v>37.5</v>
      </c>
      <c r="H624" s="5" t="s">
        <v>51</v>
      </c>
      <c r="I624" s="5" t="s">
        <v>16</v>
      </c>
      <c r="J624" s="7">
        <v>44627</v>
      </c>
      <c r="K624" s="5"/>
      <c r="L624" s="9" t="s">
        <v>32</v>
      </c>
    </row>
    <row r="625" spans="1:12" ht="45.75" thickBot="1" x14ac:dyDescent="0.3">
      <c r="A625" s="10" t="s">
        <v>1133</v>
      </c>
      <c r="B625" s="11" t="s">
        <v>117</v>
      </c>
      <c r="C625" s="11" t="s">
        <v>75</v>
      </c>
      <c r="D625" s="11" t="s">
        <v>144</v>
      </c>
      <c r="E625" s="12">
        <v>18.5</v>
      </c>
      <c r="F625" s="12">
        <v>3</v>
      </c>
      <c r="G625" s="12">
        <v>55.5</v>
      </c>
      <c r="H625" s="11" t="s">
        <v>27</v>
      </c>
      <c r="I625" s="11" t="s">
        <v>16</v>
      </c>
      <c r="J625" s="15">
        <v>45383</v>
      </c>
      <c r="K625" s="13" t="b">
        <v>0</v>
      </c>
      <c r="L625" s="14" t="s">
        <v>32</v>
      </c>
    </row>
    <row r="626" spans="1:12" ht="45.75" thickBot="1" x14ac:dyDescent="0.3">
      <c r="A626" s="4" t="s">
        <v>1134</v>
      </c>
      <c r="B626" s="5" t="s">
        <v>136</v>
      </c>
      <c r="C626" s="5" t="s">
        <v>75</v>
      </c>
      <c r="D626" s="5" t="s">
        <v>121</v>
      </c>
      <c r="E626" s="6">
        <v>35</v>
      </c>
      <c r="F626" s="6">
        <v>5</v>
      </c>
      <c r="G626" s="6">
        <v>175</v>
      </c>
      <c r="H626" s="5" t="s">
        <v>27</v>
      </c>
      <c r="I626" s="5" t="s">
        <v>16</v>
      </c>
      <c r="J626" s="7">
        <v>44842</v>
      </c>
      <c r="K626" s="8" t="b">
        <v>1</v>
      </c>
      <c r="L626" s="9" t="s">
        <v>35</v>
      </c>
    </row>
    <row r="627" spans="1:12" ht="15.75" thickBot="1" x14ac:dyDescent="0.3">
      <c r="A627" s="10" t="s">
        <v>1135</v>
      </c>
      <c r="B627" s="11" t="s">
        <v>48</v>
      </c>
      <c r="C627" s="11" t="s">
        <v>49</v>
      </c>
      <c r="D627" s="11" t="s">
        <v>163</v>
      </c>
      <c r="E627" s="12">
        <v>27.5</v>
      </c>
      <c r="F627" s="12">
        <v>4</v>
      </c>
      <c r="G627" s="12">
        <v>110</v>
      </c>
      <c r="H627" s="11" t="s">
        <v>15</v>
      </c>
      <c r="I627" s="11" t="s">
        <v>39</v>
      </c>
      <c r="J627" s="12" t="s">
        <v>1047</v>
      </c>
      <c r="K627" s="13" t="b">
        <v>0</v>
      </c>
      <c r="L627" s="14" t="s">
        <v>35</v>
      </c>
    </row>
    <row r="628" spans="1:12" ht="15.75" thickBot="1" x14ac:dyDescent="0.3">
      <c r="A628" s="4" t="s">
        <v>1136</v>
      </c>
      <c r="B628" s="5" t="s">
        <v>41</v>
      </c>
      <c r="C628" s="5" t="s">
        <v>13</v>
      </c>
      <c r="D628" s="5"/>
      <c r="E628" s="6">
        <v>5</v>
      </c>
      <c r="F628" s="5"/>
      <c r="G628" s="5"/>
      <c r="H628" s="5" t="s">
        <v>15</v>
      </c>
      <c r="I628" s="5" t="s">
        <v>39</v>
      </c>
      <c r="J628" s="7">
        <v>45141</v>
      </c>
      <c r="K628" s="8" t="b">
        <v>1</v>
      </c>
      <c r="L628" s="9" t="s">
        <v>32</v>
      </c>
    </row>
    <row r="629" spans="1:12" ht="15.75" thickBot="1" x14ac:dyDescent="0.3">
      <c r="A629" s="10" t="s">
        <v>1137</v>
      </c>
      <c r="B629" s="11" t="s">
        <v>74</v>
      </c>
      <c r="C629" s="11" t="s">
        <v>42</v>
      </c>
      <c r="D629" s="11" t="s">
        <v>905</v>
      </c>
      <c r="E629" s="12">
        <v>12.5</v>
      </c>
      <c r="F629" s="12">
        <v>9</v>
      </c>
      <c r="G629" s="12">
        <v>112.5</v>
      </c>
      <c r="H629" s="11" t="s">
        <v>27</v>
      </c>
      <c r="I629" s="11" t="s">
        <v>39</v>
      </c>
      <c r="J629" s="12" t="s">
        <v>1138</v>
      </c>
      <c r="K629" s="13" t="b">
        <v>0</v>
      </c>
      <c r="L629" s="14" t="s">
        <v>35</v>
      </c>
    </row>
    <row r="630" spans="1:12" ht="15.75" thickBot="1" x14ac:dyDescent="0.3">
      <c r="A630" s="4" t="s">
        <v>1139</v>
      </c>
      <c r="B630" s="5" t="s">
        <v>78</v>
      </c>
      <c r="C630" s="5" t="s">
        <v>42</v>
      </c>
      <c r="D630" s="5" t="s">
        <v>251</v>
      </c>
      <c r="E630" s="6">
        <v>39.5</v>
      </c>
      <c r="F630" s="6">
        <v>1</v>
      </c>
      <c r="G630" s="6">
        <v>39.5</v>
      </c>
      <c r="H630" s="5" t="s">
        <v>15</v>
      </c>
      <c r="I630" s="5" t="s">
        <v>39</v>
      </c>
      <c r="J630" s="6" t="s">
        <v>1140</v>
      </c>
      <c r="K630" s="8" t="b">
        <v>0</v>
      </c>
      <c r="L630" s="9" t="s">
        <v>32</v>
      </c>
    </row>
    <row r="631" spans="1:12" ht="45.75" thickBot="1" x14ac:dyDescent="0.3">
      <c r="A631" s="10" t="s">
        <v>1141</v>
      </c>
      <c r="B631" s="11" t="s">
        <v>48</v>
      </c>
      <c r="C631" s="11" t="s">
        <v>158</v>
      </c>
      <c r="D631" s="11" t="s">
        <v>685</v>
      </c>
      <c r="E631" s="12">
        <v>29</v>
      </c>
      <c r="F631" s="12">
        <v>6</v>
      </c>
      <c r="G631" s="12">
        <v>174</v>
      </c>
      <c r="H631" s="11" t="s">
        <v>27</v>
      </c>
      <c r="I631" s="11" t="s">
        <v>16</v>
      </c>
      <c r="J631" s="12" t="s">
        <v>601</v>
      </c>
      <c r="K631" s="13" t="b">
        <v>1</v>
      </c>
      <c r="L631" s="14" t="s">
        <v>35</v>
      </c>
    </row>
    <row r="632" spans="1:12" ht="15.75" thickBot="1" x14ac:dyDescent="0.3">
      <c r="A632" s="4" t="s">
        <v>1142</v>
      </c>
      <c r="B632" s="5" t="s">
        <v>140</v>
      </c>
      <c r="C632" s="5" t="s">
        <v>20</v>
      </c>
      <c r="D632" s="5"/>
      <c r="E632" s="5"/>
      <c r="F632" s="6">
        <v>1</v>
      </c>
      <c r="G632" s="6">
        <v>27.5</v>
      </c>
      <c r="H632" s="5" t="s">
        <v>27</v>
      </c>
      <c r="I632" s="5" t="s">
        <v>16</v>
      </c>
      <c r="J632" s="7">
        <v>44721</v>
      </c>
      <c r="K632" s="8" t="b">
        <v>1</v>
      </c>
      <c r="L632" s="9" t="s">
        <v>32</v>
      </c>
    </row>
    <row r="633" spans="1:12" ht="15.75" thickBot="1" x14ac:dyDescent="0.3">
      <c r="A633" s="10" t="s">
        <v>1143</v>
      </c>
      <c r="B633" s="11" t="s">
        <v>106</v>
      </c>
      <c r="C633" s="11" t="s">
        <v>13</v>
      </c>
      <c r="D633" s="11" t="s">
        <v>690</v>
      </c>
      <c r="E633" s="12">
        <v>15.5</v>
      </c>
      <c r="F633" s="12">
        <v>10</v>
      </c>
      <c r="G633" s="12">
        <v>155</v>
      </c>
      <c r="H633" s="11" t="s">
        <v>15</v>
      </c>
      <c r="I633" s="11" t="s">
        <v>39</v>
      </c>
      <c r="J633" s="12" t="s">
        <v>442</v>
      </c>
      <c r="K633" s="11"/>
      <c r="L633" s="14" t="s">
        <v>35</v>
      </c>
    </row>
    <row r="634" spans="1:12" ht="45.75" thickBot="1" x14ac:dyDescent="0.3">
      <c r="A634" s="4" t="s">
        <v>1144</v>
      </c>
      <c r="B634" s="5" t="s">
        <v>86</v>
      </c>
      <c r="C634" s="5" t="s">
        <v>75</v>
      </c>
      <c r="D634" s="5" t="s">
        <v>313</v>
      </c>
      <c r="E634" s="6">
        <v>15.5</v>
      </c>
      <c r="F634" s="6">
        <v>3</v>
      </c>
      <c r="G634" s="6">
        <v>46.5</v>
      </c>
      <c r="H634" s="5" t="s">
        <v>51</v>
      </c>
      <c r="I634" s="5" t="s">
        <v>16</v>
      </c>
      <c r="J634" s="6" t="s">
        <v>1082</v>
      </c>
      <c r="K634" s="8" t="b">
        <v>0</v>
      </c>
      <c r="L634" s="9" t="s">
        <v>32</v>
      </c>
    </row>
    <row r="635" spans="1:12" ht="45.75" thickBot="1" x14ac:dyDescent="0.3">
      <c r="A635" s="10" t="s">
        <v>1145</v>
      </c>
      <c r="B635" s="11" t="s">
        <v>149</v>
      </c>
      <c r="C635" s="11" t="s">
        <v>158</v>
      </c>
      <c r="D635" s="11" t="s">
        <v>159</v>
      </c>
      <c r="E635" s="12">
        <v>27.5</v>
      </c>
      <c r="F635" s="12">
        <v>5</v>
      </c>
      <c r="G635" s="12">
        <v>137.5</v>
      </c>
      <c r="H635" s="11" t="s">
        <v>15</v>
      </c>
      <c r="I635" s="11" t="s">
        <v>39</v>
      </c>
      <c r="J635" s="12" t="s">
        <v>1146</v>
      </c>
      <c r="K635" s="13" t="b">
        <v>1</v>
      </c>
      <c r="L635" s="14" t="s">
        <v>35</v>
      </c>
    </row>
    <row r="636" spans="1:12" ht="45.75" thickBot="1" x14ac:dyDescent="0.3">
      <c r="A636" s="4" t="s">
        <v>1147</v>
      </c>
      <c r="B636" s="5" t="s">
        <v>44</v>
      </c>
      <c r="C636" s="5" t="s">
        <v>75</v>
      </c>
      <c r="D636" s="5" t="s">
        <v>459</v>
      </c>
      <c r="E636" s="6">
        <v>38</v>
      </c>
      <c r="F636" s="6">
        <v>9</v>
      </c>
      <c r="G636" s="6">
        <v>342</v>
      </c>
      <c r="H636" s="5" t="s">
        <v>51</v>
      </c>
      <c r="I636" s="5" t="s">
        <v>16</v>
      </c>
      <c r="J636" s="6" t="s">
        <v>1148</v>
      </c>
      <c r="K636" s="8" t="b">
        <v>1</v>
      </c>
      <c r="L636" s="9" t="s">
        <v>17</v>
      </c>
    </row>
    <row r="637" spans="1:12" ht="15.75" thickBot="1" x14ac:dyDescent="0.3">
      <c r="A637" s="10" t="s">
        <v>1149</v>
      </c>
      <c r="B637" s="11" t="s">
        <v>120</v>
      </c>
      <c r="C637" s="11" t="s">
        <v>20</v>
      </c>
      <c r="D637" s="11" t="s">
        <v>370</v>
      </c>
      <c r="E637" s="12">
        <v>20</v>
      </c>
      <c r="F637" s="12">
        <v>1</v>
      </c>
      <c r="G637" s="12">
        <v>20</v>
      </c>
      <c r="H637" s="11" t="s">
        <v>15</v>
      </c>
      <c r="I637" s="11" t="s">
        <v>39</v>
      </c>
      <c r="J637" s="15">
        <v>44777</v>
      </c>
      <c r="K637" s="13" t="b">
        <v>0</v>
      </c>
      <c r="L637" s="14" t="s">
        <v>32</v>
      </c>
    </row>
    <row r="638" spans="1:12" ht="15.75" thickBot="1" x14ac:dyDescent="0.3">
      <c r="A638" s="4" t="s">
        <v>1150</v>
      </c>
      <c r="B638" s="5" t="s">
        <v>127</v>
      </c>
      <c r="C638" s="5" t="s">
        <v>30</v>
      </c>
      <c r="D638" s="5" t="s">
        <v>537</v>
      </c>
      <c r="E638" s="6">
        <v>11</v>
      </c>
      <c r="F638" s="6">
        <v>2</v>
      </c>
      <c r="G638" s="6">
        <v>22</v>
      </c>
      <c r="H638" s="5" t="s">
        <v>27</v>
      </c>
      <c r="I638" s="5" t="s">
        <v>16</v>
      </c>
      <c r="J638" s="7">
        <v>44845</v>
      </c>
      <c r="K638" s="5"/>
      <c r="L638" s="9" t="s">
        <v>32</v>
      </c>
    </row>
    <row r="639" spans="1:12" ht="15.75" thickBot="1" x14ac:dyDescent="0.3">
      <c r="A639" s="10" t="s">
        <v>1151</v>
      </c>
      <c r="B639" s="11" t="s">
        <v>127</v>
      </c>
      <c r="C639" s="11" t="s">
        <v>49</v>
      </c>
      <c r="D639" s="11" t="s">
        <v>50</v>
      </c>
      <c r="E639" s="12">
        <v>36.5</v>
      </c>
      <c r="F639" s="12">
        <v>7</v>
      </c>
      <c r="G639" s="12">
        <v>255.5</v>
      </c>
      <c r="H639" s="11" t="s">
        <v>51</v>
      </c>
      <c r="I639" s="11" t="s">
        <v>39</v>
      </c>
      <c r="J639" s="15">
        <v>45263</v>
      </c>
      <c r="K639" s="13" t="b">
        <v>1</v>
      </c>
      <c r="L639" s="14" t="s">
        <v>17</v>
      </c>
    </row>
    <row r="640" spans="1:12" ht="45.75" thickBot="1" x14ac:dyDescent="0.3">
      <c r="A640" s="4" t="s">
        <v>1152</v>
      </c>
      <c r="B640" s="5" t="s">
        <v>130</v>
      </c>
      <c r="C640" s="5" t="s">
        <v>158</v>
      </c>
      <c r="D640" s="5" t="s">
        <v>267</v>
      </c>
      <c r="E640" s="6">
        <v>14</v>
      </c>
      <c r="F640" s="6">
        <v>3</v>
      </c>
      <c r="G640" s="6">
        <v>42</v>
      </c>
      <c r="H640" s="5" t="s">
        <v>15</v>
      </c>
      <c r="I640" s="5" t="s">
        <v>16</v>
      </c>
      <c r="J640" s="6" t="s">
        <v>1153</v>
      </c>
      <c r="K640" s="8" t="b">
        <v>1</v>
      </c>
      <c r="L640" s="9" t="s">
        <v>32</v>
      </c>
    </row>
    <row r="641" spans="1:12" ht="15.75" thickBot="1" x14ac:dyDescent="0.3">
      <c r="A641" s="10" t="s">
        <v>1154</v>
      </c>
      <c r="B641" s="11" t="s">
        <v>74</v>
      </c>
      <c r="C641" s="11" t="s">
        <v>30</v>
      </c>
      <c r="D641" s="11" t="s">
        <v>155</v>
      </c>
      <c r="E641" s="12">
        <v>21.5</v>
      </c>
      <c r="F641" s="12">
        <v>8</v>
      </c>
      <c r="G641" s="12">
        <v>172</v>
      </c>
      <c r="H641" s="11" t="s">
        <v>51</v>
      </c>
      <c r="I641" s="11" t="s">
        <v>16</v>
      </c>
      <c r="J641" s="15">
        <v>44721</v>
      </c>
      <c r="K641" s="13" t="b">
        <v>1</v>
      </c>
      <c r="L641" s="14" t="s">
        <v>35</v>
      </c>
    </row>
    <row r="642" spans="1:12" ht="15.75" thickBot="1" x14ac:dyDescent="0.3">
      <c r="A642" s="4" t="s">
        <v>1155</v>
      </c>
      <c r="B642" s="5" t="s">
        <v>206</v>
      </c>
      <c r="C642" s="5" t="s">
        <v>49</v>
      </c>
      <c r="D642" s="5" t="s">
        <v>275</v>
      </c>
      <c r="E642" s="6">
        <v>35</v>
      </c>
      <c r="F642" s="6">
        <v>5</v>
      </c>
      <c r="G642" s="6">
        <v>175</v>
      </c>
      <c r="H642" s="5" t="s">
        <v>27</v>
      </c>
      <c r="I642" s="5" t="s">
        <v>39</v>
      </c>
      <c r="J642" s="6" t="s">
        <v>1156</v>
      </c>
      <c r="K642" s="8" t="b">
        <v>0</v>
      </c>
      <c r="L642" s="9" t="s">
        <v>35</v>
      </c>
    </row>
    <row r="643" spans="1:12" ht="45.75" thickBot="1" x14ac:dyDescent="0.3">
      <c r="A643" s="10" t="s">
        <v>1157</v>
      </c>
      <c r="B643" s="11" t="s">
        <v>127</v>
      </c>
      <c r="C643" s="11" t="s">
        <v>158</v>
      </c>
      <c r="D643" s="11" t="s">
        <v>685</v>
      </c>
      <c r="E643" s="12">
        <v>29</v>
      </c>
      <c r="F643" s="12">
        <v>1</v>
      </c>
      <c r="G643" s="12">
        <v>29</v>
      </c>
      <c r="H643" s="11" t="s">
        <v>51</v>
      </c>
      <c r="I643" s="11" t="s">
        <v>16</v>
      </c>
      <c r="J643" s="15">
        <v>44877</v>
      </c>
      <c r="K643" s="13" t="b">
        <v>0</v>
      </c>
      <c r="L643" s="14" t="s">
        <v>32</v>
      </c>
    </row>
    <row r="644" spans="1:12" ht="15.75" thickBot="1" x14ac:dyDescent="0.3">
      <c r="A644" s="4" t="s">
        <v>1158</v>
      </c>
      <c r="B644" s="5" t="s">
        <v>94</v>
      </c>
      <c r="C644" s="5" t="s">
        <v>20</v>
      </c>
      <c r="D644" s="5" t="s">
        <v>172</v>
      </c>
      <c r="E644" s="6">
        <v>32</v>
      </c>
      <c r="F644" s="6">
        <v>10</v>
      </c>
      <c r="G644" s="6">
        <v>320</v>
      </c>
      <c r="H644" s="5" t="s">
        <v>51</v>
      </c>
      <c r="I644" s="5" t="s">
        <v>16</v>
      </c>
      <c r="J644" s="7">
        <v>45510</v>
      </c>
      <c r="K644" s="8" t="b">
        <v>1</v>
      </c>
      <c r="L644" s="9" t="s">
        <v>17</v>
      </c>
    </row>
    <row r="645" spans="1:12" ht="15.75" thickBot="1" x14ac:dyDescent="0.3">
      <c r="A645" s="10" t="s">
        <v>1159</v>
      </c>
      <c r="B645" s="11" t="s">
        <v>120</v>
      </c>
      <c r="C645" s="11" t="s">
        <v>42</v>
      </c>
      <c r="D645" s="11" t="s">
        <v>392</v>
      </c>
      <c r="E645" s="12">
        <v>15.5</v>
      </c>
      <c r="F645" s="12">
        <v>9</v>
      </c>
      <c r="G645" s="12">
        <v>139.5</v>
      </c>
      <c r="H645" s="11" t="s">
        <v>51</v>
      </c>
      <c r="I645" s="11" t="s">
        <v>39</v>
      </c>
      <c r="J645" s="15">
        <v>44778</v>
      </c>
      <c r="K645" s="11"/>
      <c r="L645" s="14" t="s">
        <v>35</v>
      </c>
    </row>
    <row r="646" spans="1:12" ht="15.75" thickBot="1" x14ac:dyDescent="0.3">
      <c r="A646" s="4" t="s">
        <v>1160</v>
      </c>
      <c r="B646" s="5" t="s">
        <v>117</v>
      </c>
      <c r="C646" s="5" t="s">
        <v>25</v>
      </c>
      <c r="D646" s="5" t="s">
        <v>908</v>
      </c>
      <c r="E646" s="6">
        <v>39.5</v>
      </c>
      <c r="F646" s="6">
        <v>4</v>
      </c>
      <c r="G646" s="6">
        <v>158</v>
      </c>
      <c r="H646" s="5" t="s">
        <v>51</v>
      </c>
      <c r="I646" s="5" t="s">
        <v>39</v>
      </c>
      <c r="J646" s="7">
        <v>45516</v>
      </c>
      <c r="K646" s="8" t="b">
        <v>1</v>
      </c>
      <c r="L646" s="9" t="s">
        <v>35</v>
      </c>
    </row>
    <row r="647" spans="1:12" ht="15.75" thickBot="1" x14ac:dyDescent="0.3">
      <c r="A647" s="10" t="s">
        <v>1161</v>
      </c>
      <c r="B647" s="11" t="s">
        <v>117</v>
      </c>
      <c r="C647" s="11" t="s">
        <v>25</v>
      </c>
      <c r="D647" s="11" t="s">
        <v>1162</v>
      </c>
      <c r="E647" s="12">
        <v>26</v>
      </c>
      <c r="F647" s="12">
        <v>1</v>
      </c>
      <c r="G647" s="12">
        <v>26</v>
      </c>
      <c r="H647" s="11" t="s">
        <v>27</v>
      </c>
      <c r="I647" s="11" t="s">
        <v>39</v>
      </c>
      <c r="J647" s="15">
        <v>44813</v>
      </c>
      <c r="K647" s="13" t="b">
        <v>0</v>
      </c>
      <c r="L647" s="14" t="s">
        <v>32</v>
      </c>
    </row>
    <row r="648" spans="1:12" ht="15.75" thickBot="1" x14ac:dyDescent="0.3">
      <c r="A648" s="4" t="s">
        <v>1163</v>
      </c>
      <c r="B648" s="5" t="s">
        <v>86</v>
      </c>
      <c r="C648" s="5" t="s">
        <v>20</v>
      </c>
      <c r="D648" s="5" t="s">
        <v>721</v>
      </c>
      <c r="E648" s="6">
        <v>23</v>
      </c>
      <c r="F648" s="6">
        <v>9</v>
      </c>
      <c r="G648" s="6">
        <v>207</v>
      </c>
      <c r="H648" s="5" t="s">
        <v>15</v>
      </c>
      <c r="I648" s="5" t="s">
        <v>39</v>
      </c>
      <c r="J648" s="6" t="s">
        <v>1164</v>
      </c>
      <c r="K648" s="8" t="b">
        <v>1</v>
      </c>
      <c r="L648" s="9" t="s">
        <v>17</v>
      </c>
    </row>
    <row r="649" spans="1:12" ht="15.75" thickBot="1" x14ac:dyDescent="0.3">
      <c r="A649" s="10" t="s">
        <v>1165</v>
      </c>
      <c r="B649" s="11" t="s">
        <v>149</v>
      </c>
      <c r="C649" s="11" t="s">
        <v>42</v>
      </c>
      <c r="D649" s="11" t="s">
        <v>249</v>
      </c>
      <c r="E649" s="12">
        <v>35</v>
      </c>
      <c r="F649" s="12">
        <v>2</v>
      </c>
      <c r="G649" s="12">
        <v>70</v>
      </c>
      <c r="H649" s="11" t="s">
        <v>15</v>
      </c>
      <c r="I649" s="11" t="s">
        <v>39</v>
      </c>
      <c r="J649" s="12" t="s">
        <v>1166</v>
      </c>
      <c r="K649" s="13" t="b">
        <v>1</v>
      </c>
      <c r="L649" s="14" t="s">
        <v>32</v>
      </c>
    </row>
    <row r="650" spans="1:12" ht="45.75" thickBot="1" x14ac:dyDescent="0.3">
      <c r="A650" s="4" t="s">
        <v>1167</v>
      </c>
      <c r="B650" s="5" t="s">
        <v>99</v>
      </c>
      <c r="C650" s="5" t="s">
        <v>158</v>
      </c>
      <c r="D650" s="5" t="s">
        <v>439</v>
      </c>
      <c r="E650" s="6">
        <v>20</v>
      </c>
      <c r="F650" s="6">
        <v>6</v>
      </c>
      <c r="G650" s="6">
        <v>120</v>
      </c>
      <c r="H650" s="5" t="s">
        <v>27</v>
      </c>
      <c r="I650" s="5" t="s">
        <v>16</v>
      </c>
      <c r="J650" s="6" t="s">
        <v>1168</v>
      </c>
      <c r="K650" s="8" t="b">
        <v>1</v>
      </c>
      <c r="L650" s="9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22F41-78C9-4D9F-AEEB-3085E72FDF98}">
  <dimension ref="A1:P618"/>
  <sheetViews>
    <sheetView topLeftCell="D1" zoomScaleNormal="100" workbookViewId="0">
      <selection activeCell="K2" sqref="K2"/>
    </sheetView>
  </sheetViews>
  <sheetFormatPr defaultColWidth="14.7109375" defaultRowHeight="15" x14ac:dyDescent="0.25"/>
  <cols>
    <col min="1" max="1" width="15.5703125" customWidth="1"/>
    <col min="3" max="3" width="19.28515625" customWidth="1"/>
    <col min="4" max="4" width="20.140625" bestFit="1" customWidth="1"/>
    <col min="5" max="5" width="15.28515625" style="28" customWidth="1"/>
    <col min="8" max="8" width="18.5703125" customWidth="1"/>
    <col min="10" max="10" width="17.85546875" style="31" customWidth="1"/>
    <col min="11" max="11" width="18.28515625" customWidth="1"/>
    <col min="12" max="12" width="21.28515625" customWidth="1"/>
    <col min="13" max="13" width="20.140625" customWidth="1"/>
    <col min="14" max="14" width="23.28515625" bestFit="1" customWidth="1"/>
  </cols>
  <sheetData>
    <row r="1" spans="1:16" ht="15.75" thickBot="1" x14ac:dyDescent="0.3">
      <c r="A1" s="19" t="s">
        <v>0</v>
      </c>
      <c r="B1" s="20" t="s">
        <v>1</v>
      </c>
      <c r="C1" s="20" t="s">
        <v>1190</v>
      </c>
      <c r="D1" s="20" t="s">
        <v>2</v>
      </c>
      <c r="E1" s="26" t="s">
        <v>3</v>
      </c>
      <c r="F1" s="20" t="s">
        <v>4</v>
      </c>
      <c r="G1" s="20" t="s">
        <v>5</v>
      </c>
      <c r="H1" s="20" t="s">
        <v>6</v>
      </c>
      <c r="I1" s="20" t="s">
        <v>7</v>
      </c>
      <c r="J1" s="30" t="s">
        <v>8</v>
      </c>
      <c r="K1" s="21" t="s">
        <v>9</v>
      </c>
      <c r="L1" s="21" t="s">
        <v>1169</v>
      </c>
      <c r="M1" s="21" t="s">
        <v>10</v>
      </c>
    </row>
    <row r="2" spans="1:16" ht="15.75" thickBot="1" x14ac:dyDescent="0.3">
      <c r="A2" s="16" t="s">
        <v>11</v>
      </c>
      <c r="B2" s="5" t="s">
        <v>12</v>
      </c>
      <c r="C2" s="5" t="s">
        <v>13</v>
      </c>
      <c r="D2" s="5" t="s">
        <v>14</v>
      </c>
      <c r="E2" s="6">
        <v>18.5</v>
      </c>
      <c r="F2" s="6">
        <v>10</v>
      </c>
      <c r="G2" s="6">
        <v>185</v>
      </c>
      <c r="H2" s="5" t="s">
        <v>15</v>
      </c>
      <c r="I2" s="5" t="s">
        <v>16</v>
      </c>
      <c r="J2" s="40">
        <v>45390</v>
      </c>
      <c r="K2" s="29" t="b">
        <f>IF(ROUND(E2*F2,2)=G2,FALSE,TRUE)</f>
        <v>0</v>
      </c>
      <c r="L2" s="29" t="str">
        <f>IF(K2=FALSE,"No Discount","Discount Applied")</f>
        <v>No Discount</v>
      </c>
      <c r="M2" s="18" t="str">
        <f t="shared" ref="M2:M65" si="0">IF(E2&gt;=35,"High Profit",IF(E2&gt;=25,"Medium","Loss"))</f>
        <v>Loss</v>
      </c>
      <c r="N2" s="32" t="s">
        <v>1170</v>
      </c>
      <c r="O2" s="32">
        <f>COUNTIF(M:M,"High Profit")</f>
        <v>133</v>
      </c>
    </row>
    <row r="3" spans="1:16" ht="15.75" thickBot="1" x14ac:dyDescent="0.3">
      <c r="A3" s="17" t="s">
        <v>18</v>
      </c>
      <c r="B3" s="11" t="s">
        <v>19</v>
      </c>
      <c r="C3" s="11" t="s">
        <v>20</v>
      </c>
      <c r="D3" s="11" t="s">
        <v>21</v>
      </c>
      <c r="E3" s="12">
        <v>29</v>
      </c>
      <c r="F3" s="12">
        <v>9</v>
      </c>
      <c r="G3" s="12">
        <v>261</v>
      </c>
      <c r="H3" s="11" t="s">
        <v>15</v>
      </c>
      <c r="I3" s="11" t="s">
        <v>16</v>
      </c>
      <c r="J3" s="41">
        <v>45130</v>
      </c>
      <c r="K3" s="29" t="b">
        <f t="shared" ref="K3:K65" si="1">IF(ROUND(E3*F3,2)=G3,FALSE,TRUE)</f>
        <v>0</v>
      </c>
      <c r="L3" s="29" t="str">
        <f t="shared" ref="L3:L66" si="2">IF(K3=FALSE,"No Discount","Discount Applied")</f>
        <v>No Discount</v>
      </c>
      <c r="M3" s="18" t="str">
        <f t="shared" si="0"/>
        <v>Medium</v>
      </c>
      <c r="N3" s="32"/>
      <c r="O3" s="32"/>
    </row>
    <row r="4" spans="1:16" ht="15.75" thickBot="1" x14ac:dyDescent="0.3">
      <c r="A4" s="16" t="s">
        <v>23</v>
      </c>
      <c r="B4" s="5" t="s">
        <v>24</v>
      </c>
      <c r="C4" s="5" t="s">
        <v>25</v>
      </c>
      <c r="D4" s="5" t="s">
        <v>26</v>
      </c>
      <c r="E4" s="6">
        <v>27.5</v>
      </c>
      <c r="F4" s="6">
        <v>9</v>
      </c>
      <c r="G4" s="6">
        <v>247.5</v>
      </c>
      <c r="H4" s="5" t="s">
        <v>27</v>
      </c>
      <c r="I4" s="5" t="s">
        <v>16</v>
      </c>
      <c r="J4" s="40">
        <v>44688</v>
      </c>
      <c r="K4" s="29" t="b">
        <f t="shared" si="1"/>
        <v>0</v>
      </c>
      <c r="L4" s="29" t="str">
        <f t="shared" si="2"/>
        <v>No Discount</v>
      </c>
      <c r="M4" s="18" t="str">
        <f t="shared" si="0"/>
        <v>Medium</v>
      </c>
      <c r="N4" s="32"/>
      <c r="O4" s="32"/>
    </row>
    <row r="5" spans="1:16" ht="15.75" thickBot="1" x14ac:dyDescent="0.3">
      <c r="A5" s="17" t="s">
        <v>28</v>
      </c>
      <c r="B5" s="11" t="s">
        <v>29</v>
      </c>
      <c r="C5" s="11" t="s">
        <v>30</v>
      </c>
      <c r="D5" s="11" t="s">
        <v>31</v>
      </c>
      <c r="E5" s="12">
        <v>12.5</v>
      </c>
      <c r="F5" s="12">
        <v>7</v>
      </c>
      <c r="G5" s="12">
        <v>87.5</v>
      </c>
      <c r="H5" s="11" t="s">
        <v>15</v>
      </c>
      <c r="I5" s="11" t="s">
        <v>16</v>
      </c>
      <c r="J5" s="41">
        <v>44836</v>
      </c>
      <c r="K5" s="29" t="b">
        <f t="shared" si="1"/>
        <v>0</v>
      </c>
      <c r="L5" s="29" t="str">
        <f t="shared" si="2"/>
        <v>No Discount</v>
      </c>
      <c r="M5" s="18" t="str">
        <f t="shared" si="0"/>
        <v>Loss</v>
      </c>
      <c r="N5" s="32" t="s">
        <v>1171</v>
      </c>
      <c r="O5" s="32">
        <f>COUNTIF(M:M,"Loss")</f>
        <v>342</v>
      </c>
    </row>
    <row r="6" spans="1:16" ht="18.75" customHeight="1" thickBot="1" x14ac:dyDescent="0.3">
      <c r="A6" s="16" t="s">
        <v>33</v>
      </c>
      <c r="B6" s="5" t="s">
        <v>12</v>
      </c>
      <c r="C6" s="5" t="s">
        <v>13</v>
      </c>
      <c r="D6" s="25" t="str">
        <f>"Item _Unknown_ "&amp;UPPER(LEFT(C2,3))</f>
        <v>Item _Unknown_ PAT</v>
      </c>
      <c r="E6" s="27">
        <f>G6/F6</f>
        <v>20</v>
      </c>
      <c r="F6" s="6">
        <v>10</v>
      </c>
      <c r="G6" s="6">
        <v>200</v>
      </c>
      <c r="H6" s="5" t="s">
        <v>27</v>
      </c>
      <c r="I6" s="5" t="s">
        <v>16</v>
      </c>
      <c r="J6" s="40">
        <v>45260</v>
      </c>
      <c r="K6" s="29" t="b">
        <f t="shared" si="1"/>
        <v>0</v>
      </c>
      <c r="L6" s="29" t="str">
        <f t="shared" si="2"/>
        <v>No Discount</v>
      </c>
      <c r="M6" s="18" t="str">
        <f t="shared" si="0"/>
        <v>Loss</v>
      </c>
      <c r="N6" s="32"/>
      <c r="O6" s="32"/>
    </row>
    <row r="7" spans="1:16" ht="15.75" thickBot="1" x14ac:dyDescent="0.3">
      <c r="A7" s="17" t="s">
        <v>36</v>
      </c>
      <c r="B7" s="11" t="s">
        <v>37</v>
      </c>
      <c r="C7" s="11" t="s">
        <v>30</v>
      </c>
      <c r="D7" s="25" t="str">
        <f>"Item _Unknown_ "&amp;UPPER(LEFT(C3,3))</f>
        <v>Item _Unknown_ MIL</v>
      </c>
      <c r="E7" s="27">
        <f t="shared" ref="E7:E64" si="3">G7/F7</f>
        <v>5</v>
      </c>
      <c r="F7" s="12">
        <v>8</v>
      </c>
      <c r="G7" s="12">
        <v>40</v>
      </c>
      <c r="H7" s="11" t="s">
        <v>27</v>
      </c>
      <c r="I7" s="11" t="s">
        <v>39</v>
      </c>
      <c r="J7" s="41">
        <v>45087</v>
      </c>
      <c r="K7" s="29" t="b">
        <f t="shared" si="1"/>
        <v>0</v>
      </c>
      <c r="L7" s="29" t="str">
        <f t="shared" si="2"/>
        <v>No Discount</v>
      </c>
      <c r="M7" s="18" t="str">
        <f t="shared" si="0"/>
        <v>Loss</v>
      </c>
      <c r="N7" s="32"/>
      <c r="O7" s="32"/>
    </row>
    <row r="8" spans="1:16" ht="15.75" thickBot="1" x14ac:dyDescent="0.3">
      <c r="A8" s="17" t="s">
        <v>43</v>
      </c>
      <c r="B8" s="11" t="s">
        <v>44</v>
      </c>
      <c r="C8" s="11" t="s">
        <v>42</v>
      </c>
      <c r="D8" s="25" t="str">
        <f>"Item _Unknown_ "&amp;UPPER(LEFT(C5,3))</f>
        <v>Item _Unknown_ FOO</v>
      </c>
      <c r="E8" s="27">
        <f t="shared" si="3"/>
        <v>27.5</v>
      </c>
      <c r="F8" s="12">
        <v>1</v>
      </c>
      <c r="G8" s="12">
        <v>27.5</v>
      </c>
      <c r="H8" s="11" t="s">
        <v>27</v>
      </c>
      <c r="I8" s="11" t="s">
        <v>39</v>
      </c>
      <c r="J8" s="41">
        <v>45042</v>
      </c>
      <c r="K8" s="29" t="b">
        <f t="shared" si="1"/>
        <v>0</v>
      </c>
      <c r="L8" s="29" t="str">
        <f t="shared" si="2"/>
        <v>No Discount</v>
      </c>
      <c r="M8" s="18" t="str">
        <f t="shared" si="0"/>
        <v>Medium</v>
      </c>
      <c r="N8" s="32" t="s">
        <v>1172</v>
      </c>
      <c r="O8" s="34">
        <f>MAX(H:H)</f>
        <v>0</v>
      </c>
    </row>
    <row r="9" spans="1:16" ht="15.75" thickBot="1" x14ac:dyDescent="0.3">
      <c r="A9" s="16" t="s">
        <v>47</v>
      </c>
      <c r="B9" s="5" t="s">
        <v>48</v>
      </c>
      <c r="C9" s="5" t="s">
        <v>49</v>
      </c>
      <c r="D9" s="25" t="str">
        <f>"Item _Unknown_ "&amp;UPPER(LEFT(C6,3))</f>
        <v>Item _Unknown_ PAT</v>
      </c>
      <c r="E9" s="27">
        <f t="shared" si="3"/>
        <v>36.5</v>
      </c>
      <c r="F9" s="6">
        <v>3</v>
      </c>
      <c r="G9" s="6">
        <v>109.5</v>
      </c>
      <c r="H9" s="5" t="s">
        <v>51</v>
      </c>
      <c r="I9" s="5" t="s">
        <v>16</v>
      </c>
      <c r="J9" s="40">
        <v>45365</v>
      </c>
      <c r="K9" s="29" t="b">
        <f t="shared" si="1"/>
        <v>0</v>
      </c>
      <c r="L9" s="29" t="str">
        <f t="shared" si="2"/>
        <v>No Discount</v>
      </c>
      <c r="M9" s="18" t="str">
        <f t="shared" si="0"/>
        <v>High Profit</v>
      </c>
      <c r="N9" s="32"/>
      <c r="O9" s="32"/>
    </row>
    <row r="10" spans="1:16" ht="15.75" thickBot="1" x14ac:dyDescent="0.3">
      <c r="A10" s="17" t="s">
        <v>53</v>
      </c>
      <c r="B10" s="11" t="s">
        <v>19</v>
      </c>
      <c r="C10" s="11" t="s">
        <v>49</v>
      </c>
      <c r="D10" s="25" t="str">
        <f>"Item _Unknown_ "&amp;UPPER(LEFT(C7,3))</f>
        <v>Item _Unknown_ FOO</v>
      </c>
      <c r="E10" s="27">
        <f t="shared" si="3"/>
        <v>8</v>
      </c>
      <c r="F10" s="12">
        <v>9</v>
      </c>
      <c r="G10" s="12">
        <v>72</v>
      </c>
      <c r="H10" s="11" t="s">
        <v>51</v>
      </c>
      <c r="I10" s="11" t="s">
        <v>39</v>
      </c>
      <c r="J10" s="41">
        <v>45640</v>
      </c>
      <c r="K10" s="29" t="b">
        <f t="shared" si="1"/>
        <v>0</v>
      </c>
      <c r="L10" s="29" t="str">
        <f t="shared" si="2"/>
        <v>No Discount</v>
      </c>
      <c r="M10" s="18" t="str">
        <f t="shared" si="0"/>
        <v>Loss</v>
      </c>
      <c r="N10" s="32" t="s">
        <v>1173</v>
      </c>
      <c r="O10" s="32">
        <f>COUNTA(A:A)-1</f>
        <v>617</v>
      </c>
    </row>
    <row r="11" spans="1:16" ht="15.75" thickBot="1" x14ac:dyDescent="0.3">
      <c r="A11" s="16" t="s">
        <v>56</v>
      </c>
      <c r="B11" s="5" t="s">
        <v>12</v>
      </c>
      <c r="C11" s="5" t="s">
        <v>20</v>
      </c>
      <c r="D11" s="25" t="str">
        <f>"Item _Unknown_ "&amp;UPPER(LEFT(C2,3))</f>
        <v>Item _Unknown_ PAT</v>
      </c>
      <c r="E11" s="27">
        <f t="shared" si="3"/>
        <v>6.5</v>
      </c>
      <c r="F11" s="6">
        <v>8</v>
      </c>
      <c r="G11" s="6">
        <v>52</v>
      </c>
      <c r="H11" s="5" t="s">
        <v>15</v>
      </c>
      <c r="I11" s="5" t="s">
        <v>39</v>
      </c>
      <c r="J11" s="40">
        <v>45669</v>
      </c>
      <c r="K11" s="29" t="b">
        <f t="shared" si="1"/>
        <v>0</v>
      </c>
      <c r="L11" s="29" t="str">
        <f t="shared" si="2"/>
        <v>No Discount</v>
      </c>
      <c r="M11" s="18" t="str">
        <f t="shared" si="0"/>
        <v>Loss</v>
      </c>
      <c r="N11" s="32"/>
      <c r="O11" s="32"/>
    </row>
    <row r="12" spans="1:16" ht="15.75" thickBot="1" x14ac:dyDescent="0.3">
      <c r="A12" s="17" t="s">
        <v>57</v>
      </c>
      <c r="B12" s="11" t="s">
        <v>44</v>
      </c>
      <c r="C12" s="11" t="s">
        <v>30</v>
      </c>
      <c r="D12" s="25" t="str">
        <f t="shared" ref="D12:D66" si="4">"Item _Unknown_ "&amp;UPPER(LEFT(C8,3))</f>
        <v>Item _Unknown_ FUR</v>
      </c>
      <c r="E12" s="27">
        <f t="shared" si="3"/>
        <v>6.5</v>
      </c>
      <c r="F12" s="12">
        <v>7</v>
      </c>
      <c r="G12" s="12">
        <v>45.5</v>
      </c>
      <c r="H12" s="11" t="s">
        <v>51</v>
      </c>
      <c r="I12" s="11" t="s">
        <v>16</v>
      </c>
      <c r="J12" s="41">
        <v>45178</v>
      </c>
      <c r="K12" s="29" t="b">
        <f t="shared" si="1"/>
        <v>0</v>
      </c>
      <c r="L12" s="29" t="str">
        <f t="shared" si="2"/>
        <v>No Discount</v>
      </c>
      <c r="M12" s="18" t="str">
        <f t="shared" si="0"/>
        <v>Loss</v>
      </c>
      <c r="N12" s="32" t="s">
        <v>1174</v>
      </c>
      <c r="O12" s="32">
        <f>ROUND(SUM(E:E),0)</f>
        <v>14484</v>
      </c>
    </row>
    <row r="13" spans="1:16" ht="15.75" thickBot="1" x14ac:dyDescent="0.3">
      <c r="A13" s="16" t="s">
        <v>59</v>
      </c>
      <c r="B13" s="5" t="s">
        <v>60</v>
      </c>
      <c r="C13" s="5" t="s">
        <v>13</v>
      </c>
      <c r="D13" s="25" t="str">
        <f t="shared" si="4"/>
        <v>Item _Unknown_ BUT</v>
      </c>
      <c r="E13" s="27">
        <f t="shared" si="3"/>
        <v>39.5</v>
      </c>
      <c r="F13" s="6">
        <v>6</v>
      </c>
      <c r="G13" s="6">
        <v>237</v>
      </c>
      <c r="H13" s="5" t="s">
        <v>15</v>
      </c>
      <c r="I13" s="5" t="s">
        <v>39</v>
      </c>
      <c r="J13" s="40">
        <v>44701</v>
      </c>
      <c r="K13" s="29" t="b">
        <f t="shared" si="1"/>
        <v>0</v>
      </c>
      <c r="L13" s="29" t="str">
        <f t="shared" si="2"/>
        <v>No Discount</v>
      </c>
      <c r="M13" s="18" t="str">
        <f t="shared" si="0"/>
        <v>High Profit</v>
      </c>
      <c r="N13" s="32"/>
      <c r="O13" s="32"/>
    </row>
    <row r="14" spans="1:16" ht="15.75" thickBot="1" x14ac:dyDescent="0.3">
      <c r="A14" s="17" t="s">
        <v>63</v>
      </c>
      <c r="B14" s="11" t="s">
        <v>12</v>
      </c>
      <c r="C14" s="11" t="s">
        <v>20</v>
      </c>
      <c r="D14" s="25" t="str">
        <f t="shared" si="4"/>
        <v>Item _Unknown_ BUT</v>
      </c>
      <c r="E14" s="27">
        <f t="shared" si="3"/>
        <v>27.5</v>
      </c>
      <c r="F14" s="12">
        <v>2</v>
      </c>
      <c r="G14" s="12">
        <v>55</v>
      </c>
      <c r="H14" s="11" t="s">
        <v>15</v>
      </c>
      <c r="I14" s="11" t="s">
        <v>16</v>
      </c>
      <c r="J14" s="41">
        <v>44703</v>
      </c>
      <c r="K14" s="29" t="b">
        <f t="shared" si="1"/>
        <v>0</v>
      </c>
      <c r="L14" s="29" t="str">
        <f t="shared" si="2"/>
        <v>No Discount</v>
      </c>
      <c r="M14" s="18" t="str">
        <f t="shared" si="0"/>
        <v>Medium</v>
      </c>
      <c r="N14" s="32" t="s">
        <v>1175</v>
      </c>
      <c r="O14" s="32">
        <f>ROUND(SUMIF(M:M,"High Profit",G:G),0)</f>
        <v>26748</v>
      </c>
      <c r="P14" s="35">
        <f>ROUND(O14/O12,2)</f>
        <v>1.85</v>
      </c>
    </row>
    <row r="15" spans="1:16" ht="15.75" thickBot="1" x14ac:dyDescent="0.3">
      <c r="A15" s="17" t="s">
        <v>67</v>
      </c>
      <c r="B15" s="11" t="s">
        <v>44</v>
      </c>
      <c r="C15" s="11" t="s">
        <v>13</v>
      </c>
      <c r="D15" s="25" t="str">
        <f t="shared" ref="D15:D20" si="5">"Item _Unknown_ "&amp;UPPER(LEFT(C12,3))</f>
        <v>Item _Unknown_ FOO</v>
      </c>
      <c r="E15" s="27">
        <f t="shared" si="3"/>
        <v>29</v>
      </c>
      <c r="F15" s="12">
        <v>8</v>
      </c>
      <c r="G15" s="12">
        <v>232</v>
      </c>
      <c r="H15" s="11" t="s">
        <v>51</v>
      </c>
      <c r="I15" s="11" t="s">
        <v>16</v>
      </c>
      <c r="J15" s="41">
        <v>45612</v>
      </c>
      <c r="K15" s="29" t="b">
        <f t="shared" si="1"/>
        <v>0</v>
      </c>
      <c r="L15" s="29" t="str">
        <f t="shared" si="2"/>
        <v>No Discount</v>
      </c>
      <c r="M15" s="18" t="str">
        <f t="shared" si="0"/>
        <v>Medium</v>
      </c>
      <c r="N15" s="32"/>
      <c r="O15" s="32"/>
    </row>
    <row r="16" spans="1:16" ht="15.75" thickBot="1" x14ac:dyDescent="0.3">
      <c r="A16" s="16" t="s">
        <v>70</v>
      </c>
      <c r="B16" s="5" t="s">
        <v>71</v>
      </c>
      <c r="C16" s="5" t="s">
        <v>20</v>
      </c>
      <c r="D16" s="25" t="str">
        <f t="shared" si="5"/>
        <v>Item _Unknown_ PAT</v>
      </c>
      <c r="E16" s="27">
        <f t="shared" si="3"/>
        <v>27.5</v>
      </c>
      <c r="F16" s="6">
        <v>10</v>
      </c>
      <c r="G16" s="6">
        <v>275</v>
      </c>
      <c r="H16" s="5" t="s">
        <v>15</v>
      </c>
      <c r="I16" s="5" t="s">
        <v>16</v>
      </c>
      <c r="J16" s="40">
        <v>44668</v>
      </c>
      <c r="K16" s="29" t="b">
        <f t="shared" si="1"/>
        <v>0</v>
      </c>
      <c r="L16" s="29" t="str">
        <f t="shared" si="2"/>
        <v>No Discount</v>
      </c>
      <c r="M16" s="18" t="str">
        <f t="shared" si="0"/>
        <v>Medium</v>
      </c>
      <c r="N16" s="32" t="s">
        <v>1176</v>
      </c>
      <c r="O16" s="32">
        <f>ROUND(SUMIF(M:M,"Loss",G:G),0)</f>
        <v>28392</v>
      </c>
      <c r="P16" s="35">
        <f>ROUND(O16/O12,2)</f>
        <v>1.96</v>
      </c>
    </row>
    <row r="17" spans="1:16" ht="30.75" thickBot="1" x14ac:dyDescent="0.3">
      <c r="A17" s="17" t="s">
        <v>73</v>
      </c>
      <c r="B17" s="11" t="s">
        <v>74</v>
      </c>
      <c r="C17" s="11" t="s">
        <v>75</v>
      </c>
      <c r="D17" s="25" t="str">
        <f t="shared" si="5"/>
        <v>Item _Unknown_ MIL</v>
      </c>
      <c r="E17" s="27">
        <f t="shared" si="3"/>
        <v>23</v>
      </c>
      <c r="F17" s="12">
        <v>1</v>
      </c>
      <c r="G17" s="12">
        <v>23</v>
      </c>
      <c r="H17" s="11" t="s">
        <v>15</v>
      </c>
      <c r="I17" s="11" t="s">
        <v>39</v>
      </c>
      <c r="J17" s="41">
        <v>44599</v>
      </c>
      <c r="K17" s="29" t="b">
        <f t="shared" si="1"/>
        <v>0</v>
      </c>
      <c r="L17" s="29" t="str">
        <f t="shared" si="2"/>
        <v>No Discount</v>
      </c>
      <c r="M17" s="18" t="str">
        <f t="shared" si="0"/>
        <v>Loss</v>
      </c>
      <c r="N17" s="32"/>
      <c r="O17" s="32"/>
    </row>
    <row r="18" spans="1:16" ht="15.75" thickBot="1" x14ac:dyDescent="0.3">
      <c r="A18" s="17" t="s">
        <v>80</v>
      </c>
      <c r="B18" s="11" t="s">
        <v>60</v>
      </c>
      <c r="C18" s="11" t="s">
        <v>25</v>
      </c>
      <c r="D18" s="25" t="str">
        <f t="shared" si="5"/>
        <v>Item _Unknown_ PAT</v>
      </c>
      <c r="E18" s="27">
        <f t="shared" si="3"/>
        <v>14</v>
      </c>
      <c r="F18" s="12">
        <v>9</v>
      </c>
      <c r="G18" s="12">
        <v>126</v>
      </c>
      <c r="H18" s="11" t="s">
        <v>15</v>
      </c>
      <c r="I18" s="11" t="s">
        <v>39</v>
      </c>
      <c r="J18" s="41">
        <v>45305</v>
      </c>
      <c r="K18" s="29" t="b">
        <f t="shared" si="1"/>
        <v>0</v>
      </c>
      <c r="L18" s="29" t="str">
        <f t="shared" si="2"/>
        <v>No Discount</v>
      </c>
      <c r="M18" s="18" t="str">
        <f t="shared" si="0"/>
        <v>Loss</v>
      </c>
      <c r="N18" s="33" t="s">
        <v>1177</v>
      </c>
      <c r="O18" s="36">
        <f>ROUND(O16/SUM(E:E),2)</f>
        <v>1.96</v>
      </c>
      <c r="P18" s="37"/>
    </row>
    <row r="19" spans="1:16" ht="15.75" thickBot="1" x14ac:dyDescent="0.3">
      <c r="A19" s="16" t="s">
        <v>83</v>
      </c>
      <c r="B19" s="5" t="s">
        <v>71</v>
      </c>
      <c r="C19" s="5" t="s">
        <v>20</v>
      </c>
      <c r="D19" s="25" t="str">
        <f t="shared" si="5"/>
        <v>Item _Unknown_ MIL</v>
      </c>
      <c r="E19" s="27">
        <f t="shared" si="3"/>
        <v>35</v>
      </c>
      <c r="F19" s="6">
        <v>3</v>
      </c>
      <c r="G19" s="6">
        <v>105</v>
      </c>
      <c r="H19" s="5" t="s">
        <v>27</v>
      </c>
      <c r="I19" s="5" t="s">
        <v>39</v>
      </c>
      <c r="J19" s="40">
        <v>45228</v>
      </c>
      <c r="K19" s="29" t="b">
        <f t="shared" si="1"/>
        <v>0</v>
      </c>
      <c r="L19" s="29" t="str">
        <f t="shared" si="2"/>
        <v>No Discount</v>
      </c>
      <c r="M19" s="18" t="str">
        <f t="shared" si="0"/>
        <v>High Profit</v>
      </c>
    </row>
    <row r="20" spans="1:16" ht="30.75" thickBot="1" x14ac:dyDescent="0.3">
      <c r="A20" s="17" t="s">
        <v>85</v>
      </c>
      <c r="B20" s="11" t="s">
        <v>86</v>
      </c>
      <c r="C20" s="11" t="s">
        <v>75</v>
      </c>
      <c r="D20" s="25" t="str">
        <f t="shared" si="5"/>
        <v>Item _Unknown_ ELE</v>
      </c>
      <c r="E20" s="27">
        <f t="shared" si="3"/>
        <v>9.5</v>
      </c>
      <c r="F20" s="12">
        <v>7</v>
      </c>
      <c r="G20" s="12">
        <v>66.5</v>
      </c>
      <c r="H20" s="11" t="s">
        <v>51</v>
      </c>
      <c r="I20" s="11" t="s">
        <v>39</v>
      </c>
      <c r="J20" s="41">
        <v>44788</v>
      </c>
      <c r="K20" s="29" t="b">
        <f t="shared" si="1"/>
        <v>0</v>
      </c>
      <c r="L20" s="29" t="str">
        <f t="shared" si="2"/>
        <v>No Discount</v>
      </c>
      <c r="M20" s="18" t="str">
        <f t="shared" si="0"/>
        <v>Loss</v>
      </c>
    </row>
    <row r="21" spans="1:16" ht="15.75" thickBot="1" x14ac:dyDescent="0.3">
      <c r="A21" s="16" t="s">
        <v>89</v>
      </c>
      <c r="B21" s="5" t="s">
        <v>90</v>
      </c>
      <c r="C21" s="5" t="s">
        <v>30</v>
      </c>
      <c r="D21" s="25" t="str">
        <f>"Item _Unknown_ "&amp;UPPER(LEFT(C12,3))</f>
        <v>Item _Unknown_ FOO</v>
      </c>
      <c r="E21" s="27">
        <f t="shared" si="3"/>
        <v>18.5</v>
      </c>
      <c r="F21" s="6">
        <v>1</v>
      </c>
      <c r="G21" s="6">
        <v>18.5</v>
      </c>
      <c r="H21" s="5" t="s">
        <v>51</v>
      </c>
      <c r="I21" s="5" t="s">
        <v>16</v>
      </c>
      <c r="J21" s="40">
        <v>45199</v>
      </c>
      <c r="K21" s="29" t="b">
        <f t="shared" si="1"/>
        <v>0</v>
      </c>
      <c r="L21" s="29" t="str">
        <f t="shared" si="2"/>
        <v>No Discount</v>
      </c>
      <c r="M21" s="18" t="str">
        <f t="shared" si="0"/>
        <v>Loss</v>
      </c>
    </row>
    <row r="22" spans="1:16" ht="15.75" thickBot="1" x14ac:dyDescent="0.3">
      <c r="A22" s="17" t="s">
        <v>93</v>
      </c>
      <c r="B22" s="11" t="s">
        <v>94</v>
      </c>
      <c r="C22" s="11" t="s">
        <v>42</v>
      </c>
      <c r="D22" s="25" t="str">
        <f t="shared" si="4"/>
        <v>Item _Unknown_ BEV</v>
      </c>
      <c r="E22" s="27">
        <f t="shared" si="3"/>
        <v>24.5</v>
      </c>
      <c r="F22" s="12">
        <v>2</v>
      </c>
      <c r="G22" s="12">
        <v>49</v>
      </c>
      <c r="H22" s="11" t="s">
        <v>51</v>
      </c>
      <c r="I22" s="11" t="s">
        <v>16</v>
      </c>
      <c r="J22" s="41">
        <v>45167</v>
      </c>
      <c r="K22" s="29" t="b">
        <f t="shared" si="1"/>
        <v>0</v>
      </c>
      <c r="L22" s="29" t="str">
        <f t="shared" si="2"/>
        <v>No Discount</v>
      </c>
      <c r="M22" s="18" t="str">
        <f t="shared" si="0"/>
        <v>Loss</v>
      </c>
    </row>
    <row r="23" spans="1:16" ht="15.75" thickBot="1" x14ac:dyDescent="0.3">
      <c r="A23" s="17" t="s">
        <v>98</v>
      </c>
      <c r="B23" s="11" t="s">
        <v>99</v>
      </c>
      <c r="C23" s="11" t="s">
        <v>49</v>
      </c>
      <c r="D23" s="25" t="str">
        <f>"Item _Unknown_ "&amp;UPPER(LEFT(C20,3))</f>
        <v>Item _Unknown_ ELE</v>
      </c>
      <c r="E23" s="27">
        <f t="shared" si="3"/>
        <v>33.5</v>
      </c>
      <c r="F23" s="12">
        <v>4</v>
      </c>
      <c r="G23" s="12">
        <v>134</v>
      </c>
      <c r="H23" s="11" t="s">
        <v>27</v>
      </c>
      <c r="I23" s="11" t="s">
        <v>39</v>
      </c>
      <c r="J23" s="41">
        <v>44636</v>
      </c>
      <c r="K23" s="29" t="b">
        <f t="shared" si="1"/>
        <v>0</v>
      </c>
      <c r="L23" s="29" t="str">
        <f t="shared" si="2"/>
        <v>No Discount</v>
      </c>
      <c r="M23" s="18" t="str">
        <f t="shared" si="0"/>
        <v>Medium</v>
      </c>
    </row>
    <row r="24" spans="1:16" ht="15.75" thickBot="1" x14ac:dyDescent="0.3">
      <c r="A24" s="16" t="s">
        <v>102</v>
      </c>
      <c r="B24" s="5" t="s">
        <v>60</v>
      </c>
      <c r="C24" s="5" t="s">
        <v>42</v>
      </c>
      <c r="D24" s="25" t="str">
        <f>"Item _Unknown_ "&amp;UPPER(LEFT(C21,3))</f>
        <v>Item _Unknown_ FOO</v>
      </c>
      <c r="E24" s="27">
        <f t="shared" si="3"/>
        <v>41</v>
      </c>
      <c r="F24" s="6">
        <v>10</v>
      </c>
      <c r="G24" s="6">
        <v>410</v>
      </c>
      <c r="H24" s="5" t="s">
        <v>27</v>
      </c>
      <c r="I24" s="5" t="s">
        <v>39</v>
      </c>
      <c r="J24" s="40">
        <v>45375</v>
      </c>
      <c r="K24" s="29" t="b">
        <f t="shared" si="1"/>
        <v>0</v>
      </c>
      <c r="L24" s="29" t="str">
        <f t="shared" si="2"/>
        <v>No Discount</v>
      </c>
      <c r="M24" s="18" t="str">
        <f t="shared" si="0"/>
        <v>High Profit</v>
      </c>
    </row>
    <row r="25" spans="1:16" ht="15.75" thickBot="1" x14ac:dyDescent="0.3">
      <c r="A25" s="17" t="s">
        <v>105</v>
      </c>
      <c r="B25" s="11" t="s">
        <v>106</v>
      </c>
      <c r="C25" s="11" t="s">
        <v>30</v>
      </c>
      <c r="D25" s="25" t="str">
        <f>"Item _Unknown_ "&amp;UPPER(LEFT(C22,3))</f>
        <v>Item _Unknown_ FUR</v>
      </c>
      <c r="E25" s="27">
        <f t="shared" si="3"/>
        <v>24.5</v>
      </c>
      <c r="F25" s="12">
        <v>10</v>
      </c>
      <c r="G25" s="12">
        <v>245</v>
      </c>
      <c r="H25" s="11" t="s">
        <v>51</v>
      </c>
      <c r="I25" s="11" t="s">
        <v>39</v>
      </c>
      <c r="J25" s="41">
        <v>44857</v>
      </c>
      <c r="K25" s="29" t="b">
        <f t="shared" si="1"/>
        <v>0</v>
      </c>
      <c r="L25" s="29" t="str">
        <f t="shared" si="2"/>
        <v>No Discount</v>
      </c>
      <c r="M25" s="18" t="str">
        <f t="shared" si="0"/>
        <v>Loss</v>
      </c>
    </row>
    <row r="26" spans="1:16" ht="15.75" thickBot="1" x14ac:dyDescent="0.3">
      <c r="A26" s="16" t="s">
        <v>109</v>
      </c>
      <c r="B26" s="5" t="s">
        <v>99</v>
      </c>
      <c r="C26" s="5" t="s">
        <v>13</v>
      </c>
      <c r="D26" s="25" t="str">
        <f>"Item _Unknown_ "&amp;UPPER(LEFT(C17,3))</f>
        <v>Item _Unknown_ ELE</v>
      </c>
      <c r="E26" s="27">
        <f t="shared" si="3"/>
        <v>36.5</v>
      </c>
      <c r="F26" s="6">
        <v>5</v>
      </c>
      <c r="G26" s="6">
        <v>182.5</v>
      </c>
      <c r="H26" s="5" t="s">
        <v>27</v>
      </c>
      <c r="I26" s="5" t="s">
        <v>39</v>
      </c>
      <c r="J26" s="40">
        <v>44630</v>
      </c>
      <c r="K26" s="29" t="b">
        <f t="shared" si="1"/>
        <v>0</v>
      </c>
      <c r="L26" s="29" t="str">
        <f t="shared" si="2"/>
        <v>No Discount</v>
      </c>
      <c r="M26" s="18" t="str">
        <f t="shared" si="0"/>
        <v>High Profit</v>
      </c>
    </row>
    <row r="27" spans="1:16" ht="15.75" thickBot="1" x14ac:dyDescent="0.3">
      <c r="A27" s="17" t="s">
        <v>111</v>
      </c>
      <c r="B27" s="11" t="s">
        <v>29</v>
      </c>
      <c r="C27" s="11" t="s">
        <v>30</v>
      </c>
      <c r="D27" s="25" t="str">
        <f t="shared" si="4"/>
        <v>Item _Unknown_ BUT</v>
      </c>
      <c r="E27" s="27">
        <f t="shared" si="3"/>
        <v>20</v>
      </c>
      <c r="F27" s="12">
        <v>10</v>
      </c>
      <c r="G27" s="12">
        <v>200</v>
      </c>
      <c r="H27" s="11" t="s">
        <v>15</v>
      </c>
      <c r="I27" s="11" t="s">
        <v>16</v>
      </c>
      <c r="J27" s="41">
        <v>44677</v>
      </c>
      <c r="K27" s="29" t="b">
        <f t="shared" si="1"/>
        <v>0</v>
      </c>
      <c r="L27" s="29" t="str">
        <f t="shared" si="2"/>
        <v>No Discount</v>
      </c>
      <c r="M27" s="18" t="str">
        <f t="shared" si="0"/>
        <v>Loss</v>
      </c>
    </row>
    <row r="28" spans="1:16" ht="15.75" thickBot="1" x14ac:dyDescent="0.3">
      <c r="A28" s="16" t="s">
        <v>114</v>
      </c>
      <c r="B28" s="5" t="s">
        <v>19</v>
      </c>
      <c r="C28" s="5" t="s">
        <v>13</v>
      </c>
      <c r="D28" s="25" t="str">
        <f t="shared" si="4"/>
        <v>Item _Unknown_ FUR</v>
      </c>
      <c r="E28" s="27">
        <f t="shared" si="3"/>
        <v>12.5</v>
      </c>
      <c r="F28" s="6">
        <v>8</v>
      </c>
      <c r="G28" s="6">
        <v>100</v>
      </c>
      <c r="H28" s="5" t="s">
        <v>27</v>
      </c>
      <c r="I28" s="5" t="s">
        <v>16</v>
      </c>
      <c r="J28" s="40">
        <v>44656</v>
      </c>
      <c r="K28" s="29" t="b">
        <f t="shared" si="1"/>
        <v>0</v>
      </c>
      <c r="L28" s="29" t="str">
        <f t="shared" si="2"/>
        <v>No Discount</v>
      </c>
      <c r="M28" s="18" t="str">
        <f t="shared" si="0"/>
        <v>Loss</v>
      </c>
    </row>
    <row r="29" spans="1:16" ht="15.75" thickBot="1" x14ac:dyDescent="0.3">
      <c r="A29" s="17" t="s">
        <v>116</v>
      </c>
      <c r="B29" s="11" t="s">
        <v>117</v>
      </c>
      <c r="C29" s="11" t="s">
        <v>30</v>
      </c>
      <c r="D29" s="25" t="str">
        <f t="shared" si="4"/>
        <v>Item _Unknown_ FOO</v>
      </c>
      <c r="E29" s="27">
        <f t="shared" si="3"/>
        <v>24.5</v>
      </c>
      <c r="F29" s="12">
        <v>8</v>
      </c>
      <c r="G29" s="12">
        <v>196</v>
      </c>
      <c r="H29" s="11" t="s">
        <v>27</v>
      </c>
      <c r="I29" s="11" t="s">
        <v>16</v>
      </c>
      <c r="J29" s="41">
        <v>45590</v>
      </c>
      <c r="K29" s="29" t="b">
        <f t="shared" si="1"/>
        <v>0</v>
      </c>
      <c r="L29" s="29" t="str">
        <f t="shared" si="2"/>
        <v>No Discount</v>
      </c>
      <c r="M29" s="18" t="str">
        <f t="shared" si="0"/>
        <v>Loss</v>
      </c>
    </row>
    <row r="30" spans="1:16" ht="30.75" thickBot="1" x14ac:dyDescent="0.3">
      <c r="A30" s="16" t="s">
        <v>119</v>
      </c>
      <c r="B30" s="5" t="s">
        <v>120</v>
      </c>
      <c r="C30" s="5" t="s">
        <v>75</v>
      </c>
      <c r="D30" s="25" t="str">
        <f t="shared" si="4"/>
        <v>Item _Unknown_ PAT</v>
      </c>
      <c r="E30" s="27">
        <f t="shared" si="3"/>
        <v>35</v>
      </c>
      <c r="F30" s="6">
        <v>9</v>
      </c>
      <c r="G30" s="6">
        <v>315</v>
      </c>
      <c r="H30" s="5" t="s">
        <v>27</v>
      </c>
      <c r="I30" s="5" t="s">
        <v>39</v>
      </c>
      <c r="J30" s="40">
        <v>45358</v>
      </c>
      <c r="K30" s="29" t="b">
        <f t="shared" si="1"/>
        <v>0</v>
      </c>
      <c r="L30" s="29" t="str">
        <f t="shared" si="2"/>
        <v>No Discount</v>
      </c>
      <c r="M30" s="18" t="str">
        <f t="shared" si="0"/>
        <v>High Profit</v>
      </c>
    </row>
    <row r="31" spans="1:16" ht="15.75" thickBot="1" x14ac:dyDescent="0.3">
      <c r="A31" s="16" t="s">
        <v>124</v>
      </c>
      <c r="B31" s="5" t="s">
        <v>71</v>
      </c>
      <c r="C31" s="5" t="s">
        <v>25</v>
      </c>
      <c r="D31" s="25" t="str">
        <f>"Item _Unknown_ "&amp;UPPER(LEFT(C28,3))</f>
        <v>Item _Unknown_ PAT</v>
      </c>
      <c r="E31" s="27">
        <f t="shared" si="3"/>
        <v>41</v>
      </c>
      <c r="F31" s="6">
        <v>7</v>
      </c>
      <c r="G31" s="6">
        <v>287</v>
      </c>
      <c r="H31" s="5" t="s">
        <v>27</v>
      </c>
      <c r="I31" s="5" t="s">
        <v>39</v>
      </c>
      <c r="J31" s="40">
        <v>45446</v>
      </c>
      <c r="K31" s="29" t="b">
        <f t="shared" si="1"/>
        <v>0</v>
      </c>
      <c r="L31" s="29" t="str">
        <f t="shared" si="2"/>
        <v>No Discount</v>
      </c>
      <c r="M31" s="18" t="str">
        <f t="shared" si="0"/>
        <v>High Profit</v>
      </c>
    </row>
    <row r="32" spans="1:16" ht="15.75" thickBot="1" x14ac:dyDescent="0.3">
      <c r="A32" s="17" t="s">
        <v>126</v>
      </c>
      <c r="B32" s="11" t="s">
        <v>127</v>
      </c>
      <c r="C32" s="11" t="s">
        <v>30</v>
      </c>
      <c r="D32" s="25" t="str">
        <f>"Item _Unknown_ "&amp;UPPER(LEFT(C29,3))</f>
        <v>Item _Unknown_ FOO</v>
      </c>
      <c r="E32" s="27">
        <f t="shared" si="3"/>
        <v>38</v>
      </c>
      <c r="F32" s="12">
        <v>2</v>
      </c>
      <c r="G32" s="12">
        <v>76</v>
      </c>
      <c r="H32" s="11" t="s">
        <v>15</v>
      </c>
      <c r="I32" s="11" t="s">
        <v>39</v>
      </c>
      <c r="J32" s="41">
        <v>45361</v>
      </c>
      <c r="K32" s="29" t="b">
        <f t="shared" si="1"/>
        <v>0</v>
      </c>
      <c r="L32" s="29" t="str">
        <f t="shared" si="2"/>
        <v>No Discount</v>
      </c>
      <c r="M32" s="18" t="str">
        <f t="shared" si="0"/>
        <v>High Profit</v>
      </c>
    </row>
    <row r="33" spans="1:13" ht="15.75" thickBot="1" x14ac:dyDescent="0.3">
      <c r="A33" s="16" t="s">
        <v>129</v>
      </c>
      <c r="B33" s="5" t="s">
        <v>130</v>
      </c>
      <c r="C33" s="5" t="s">
        <v>42</v>
      </c>
      <c r="D33" s="25" t="str">
        <f>"Item _Unknown_ "&amp;UPPER(LEFT(C30,3))</f>
        <v>Item _Unknown_ ELE</v>
      </c>
      <c r="E33" s="27">
        <f t="shared" si="3"/>
        <v>18.5</v>
      </c>
      <c r="F33" s="6">
        <v>5</v>
      </c>
      <c r="G33" s="6">
        <v>92.5</v>
      </c>
      <c r="H33" s="5" t="s">
        <v>27</v>
      </c>
      <c r="I33" s="5" t="s">
        <v>16</v>
      </c>
      <c r="J33" s="40">
        <v>45405</v>
      </c>
      <c r="K33" s="29" t="b">
        <f t="shared" si="1"/>
        <v>0</v>
      </c>
      <c r="L33" s="29" t="str">
        <f t="shared" si="2"/>
        <v>No Discount</v>
      </c>
      <c r="M33" s="18" t="str">
        <f t="shared" si="0"/>
        <v>Loss</v>
      </c>
    </row>
    <row r="34" spans="1:13" ht="15.75" thickBot="1" x14ac:dyDescent="0.3">
      <c r="A34" s="17" t="s">
        <v>133</v>
      </c>
      <c r="B34" s="11" t="s">
        <v>60</v>
      </c>
      <c r="C34" s="11" t="s">
        <v>25</v>
      </c>
      <c r="D34" s="25" t="str">
        <f>"Item _Unknown_ "&amp;UPPER(LEFT(C25,3))</f>
        <v>Item _Unknown_ FOO</v>
      </c>
      <c r="E34" s="27">
        <f t="shared" si="3"/>
        <v>20</v>
      </c>
      <c r="F34" s="12">
        <v>5</v>
      </c>
      <c r="G34" s="12">
        <v>100</v>
      </c>
      <c r="H34" s="11" t="s">
        <v>15</v>
      </c>
      <c r="I34" s="11" t="s">
        <v>16</v>
      </c>
      <c r="J34" s="41">
        <v>44715</v>
      </c>
      <c r="K34" s="29" t="b">
        <f t="shared" si="1"/>
        <v>0</v>
      </c>
      <c r="L34" s="29" t="str">
        <f t="shared" si="2"/>
        <v>No Discount</v>
      </c>
      <c r="M34" s="18" t="str">
        <f t="shared" si="0"/>
        <v>Loss</v>
      </c>
    </row>
    <row r="35" spans="1:13" ht="15.75" thickBot="1" x14ac:dyDescent="0.3">
      <c r="A35" s="16" t="s">
        <v>135</v>
      </c>
      <c r="B35" s="5" t="s">
        <v>136</v>
      </c>
      <c r="C35" s="5" t="s">
        <v>49</v>
      </c>
      <c r="D35" s="25" t="str">
        <f t="shared" si="4"/>
        <v>Item _Unknown_ BEV</v>
      </c>
      <c r="E35" s="27">
        <f t="shared" si="3"/>
        <v>38</v>
      </c>
      <c r="F35" s="6">
        <v>5</v>
      </c>
      <c r="G35" s="6">
        <v>190</v>
      </c>
      <c r="H35" s="5" t="s">
        <v>27</v>
      </c>
      <c r="I35" s="5" t="s">
        <v>39</v>
      </c>
      <c r="J35" s="40">
        <v>45584</v>
      </c>
      <c r="K35" s="29" t="b">
        <f t="shared" si="1"/>
        <v>0</v>
      </c>
      <c r="L35" s="29" t="str">
        <f t="shared" si="2"/>
        <v>No Discount</v>
      </c>
      <c r="M35" s="18" t="str">
        <f t="shared" si="0"/>
        <v>High Profit</v>
      </c>
    </row>
    <row r="36" spans="1:13" ht="15.75" thickBot="1" x14ac:dyDescent="0.3">
      <c r="A36" s="17" t="s">
        <v>139</v>
      </c>
      <c r="B36" s="11" t="s">
        <v>140</v>
      </c>
      <c r="C36" s="11" t="s">
        <v>25</v>
      </c>
      <c r="D36" s="25" t="str">
        <f t="shared" si="4"/>
        <v>Item _Unknown_ FOO</v>
      </c>
      <c r="E36" s="27">
        <f t="shared" si="3"/>
        <v>36.5</v>
      </c>
      <c r="F36" s="12">
        <v>7</v>
      </c>
      <c r="G36" s="12">
        <v>255.5</v>
      </c>
      <c r="H36" s="11" t="s">
        <v>51</v>
      </c>
      <c r="I36" s="11" t="s">
        <v>16</v>
      </c>
      <c r="J36" s="41">
        <v>45077</v>
      </c>
      <c r="K36" s="29" t="b">
        <f t="shared" si="1"/>
        <v>0</v>
      </c>
      <c r="L36" s="29" t="str">
        <f t="shared" si="2"/>
        <v>No Discount</v>
      </c>
      <c r="M36" s="18" t="str">
        <f t="shared" si="0"/>
        <v>High Profit</v>
      </c>
    </row>
    <row r="37" spans="1:13" ht="30.75" thickBot="1" x14ac:dyDescent="0.3">
      <c r="A37" s="16" t="s">
        <v>143</v>
      </c>
      <c r="B37" s="5" t="s">
        <v>140</v>
      </c>
      <c r="C37" s="5" t="s">
        <v>75</v>
      </c>
      <c r="D37" s="25" t="str">
        <f t="shared" si="4"/>
        <v>Item _Unknown_ FUR</v>
      </c>
      <c r="E37" s="27">
        <f t="shared" si="3"/>
        <v>18.5</v>
      </c>
      <c r="F37" s="6">
        <v>5</v>
      </c>
      <c r="G37" s="6">
        <v>92.5</v>
      </c>
      <c r="H37" s="5" t="s">
        <v>51</v>
      </c>
      <c r="I37" s="5" t="s">
        <v>16</v>
      </c>
      <c r="J37" s="40">
        <v>44774</v>
      </c>
      <c r="K37" s="29" t="b">
        <f t="shared" si="1"/>
        <v>0</v>
      </c>
      <c r="L37" s="29" t="str">
        <f t="shared" si="2"/>
        <v>No Discount</v>
      </c>
      <c r="M37" s="18" t="str">
        <f t="shared" si="0"/>
        <v>Loss</v>
      </c>
    </row>
    <row r="38" spans="1:13" ht="15.75" thickBot="1" x14ac:dyDescent="0.3">
      <c r="A38" s="17" t="s">
        <v>145</v>
      </c>
      <c r="B38" s="11" t="s">
        <v>48</v>
      </c>
      <c r="C38" s="11" t="s">
        <v>49</v>
      </c>
      <c r="D38" s="25" t="str">
        <f t="shared" si="4"/>
        <v>Item _Unknown_ BEV</v>
      </c>
      <c r="E38" s="27">
        <f t="shared" si="3"/>
        <v>39.5</v>
      </c>
      <c r="F38" s="12">
        <v>7</v>
      </c>
      <c r="G38" s="12">
        <v>276.5</v>
      </c>
      <c r="H38" s="11" t="s">
        <v>15</v>
      </c>
      <c r="I38" s="11" t="s">
        <v>39</v>
      </c>
      <c r="J38" s="41">
        <v>44855</v>
      </c>
      <c r="K38" s="29" t="b">
        <f t="shared" si="1"/>
        <v>0</v>
      </c>
      <c r="L38" s="29" t="str">
        <f t="shared" si="2"/>
        <v>No Discount</v>
      </c>
      <c r="M38" s="18" t="str">
        <f t="shared" si="0"/>
        <v>High Profit</v>
      </c>
    </row>
    <row r="39" spans="1:13" ht="15.75" thickBot="1" x14ac:dyDescent="0.3">
      <c r="A39" s="16" t="s">
        <v>148</v>
      </c>
      <c r="B39" s="5" t="s">
        <v>149</v>
      </c>
      <c r="C39" s="5" t="s">
        <v>25</v>
      </c>
      <c r="D39" s="25" t="str">
        <f t="shared" si="4"/>
        <v>Item _Unknown_ BUT</v>
      </c>
      <c r="E39" s="27">
        <f t="shared" si="3"/>
        <v>15.5</v>
      </c>
      <c r="F39" s="6">
        <v>3</v>
      </c>
      <c r="G39" s="6">
        <v>46.5</v>
      </c>
      <c r="H39" s="5" t="s">
        <v>51</v>
      </c>
      <c r="I39" s="5" t="s">
        <v>39</v>
      </c>
      <c r="J39" s="40">
        <v>45390</v>
      </c>
      <c r="K39" s="29" t="b">
        <f t="shared" si="1"/>
        <v>0</v>
      </c>
      <c r="L39" s="29" t="str">
        <f t="shared" si="2"/>
        <v>No Discount</v>
      </c>
      <c r="M39" s="18" t="str">
        <f t="shared" si="0"/>
        <v>Loss</v>
      </c>
    </row>
    <row r="40" spans="1:13" ht="15.75" thickBot="1" x14ac:dyDescent="0.3">
      <c r="A40" s="17" t="s">
        <v>151</v>
      </c>
      <c r="B40" s="11" t="s">
        <v>48</v>
      </c>
      <c r="C40" s="11" t="s">
        <v>30</v>
      </c>
      <c r="D40" s="25" t="str">
        <f t="shared" si="4"/>
        <v>Item _Unknown_ BEV</v>
      </c>
      <c r="E40" s="27">
        <f t="shared" si="3"/>
        <v>8</v>
      </c>
      <c r="F40" s="12">
        <v>1</v>
      </c>
      <c r="G40" s="12">
        <v>8</v>
      </c>
      <c r="H40" s="11" t="s">
        <v>15</v>
      </c>
      <c r="I40" s="11" t="s">
        <v>39</v>
      </c>
      <c r="J40" s="41">
        <v>44670</v>
      </c>
      <c r="K40" s="29" t="b">
        <f t="shared" si="1"/>
        <v>0</v>
      </c>
      <c r="L40" s="29" t="str">
        <f t="shared" si="2"/>
        <v>No Discount</v>
      </c>
      <c r="M40" s="18" t="str">
        <f t="shared" si="0"/>
        <v>Loss</v>
      </c>
    </row>
    <row r="41" spans="1:13" ht="15.75" thickBot="1" x14ac:dyDescent="0.3">
      <c r="A41" s="16" t="s">
        <v>154</v>
      </c>
      <c r="B41" s="5" t="s">
        <v>117</v>
      </c>
      <c r="C41" s="5" t="s">
        <v>30</v>
      </c>
      <c r="D41" s="25" t="str">
        <f t="shared" si="4"/>
        <v>Item _Unknown_ ELE</v>
      </c>
      <c r="E41" s="27">
        <f t="shared" si="3"/>
        <v>21.5</v>
      </c>
      <c r="F41" s="6">
        <v>5</v>
      </c>
      <c r="G41" s="6">
        <v>107.5</v>
      </c>
      <c r="H41" s="5" t="s">
        <v>15</v>
      </c>
      <c r="I41" s="5" t="s">
        <v>16</v>
      </c>
      <c r="J41" s="40">
        <v>44985</v>
      </c>
      <c r="K41" s="29" t="b">
        <f t="shared" si="1"/>
        <v>0</v>
      </c>
      <c r="L41" s="29" t="str">
        <f t="shared" si="2"/>
        <v>No Discount</v>
      </c>
      <c r="M41" s="18" t="str">
        <f t="shared" si="0"/>
        <v>Loss</v>
      </c>
    </row>
    <row r="42" spans="1:13" ht="30.75" thickBot="1" x14ac:dyDescent="0.3">
      <c r="A42" s="17" t="s">
        <v>157</v>
      </c>
      <c r="B42" s="11" t="s">
        <v>90</v>
      </c>
      <c r="C42" s="11" t="s">
        <v>158</v>
      </c>
      <c r="D42" s="25" t="str">
        <f t="shared" si="4"/>
        <v>Item _Unknown_ BUT</v>
      </c>
      <c r="E42" s="27">
        <f t="shared" si="3"/>
        <v>27.5</v>
      </c>
      <c r="F42" s="12">
        <v>6</v>
      </c>
      <c r="G42" s="12">
        <v>165</v>
      </c>
      <c r="H42" s="11" t="s">
        <v>27</v>
      </c>
      <c r="I42" s="11" t="s">
        <v>16</v>
      </c>
      <c r="J42" s="41">
        <v>44657</v>
      </c>
      <c r="K42" s="29" t="b">
        <f t="shared" si="1"/>
        <v>0</v>
      </c>
      <c r="L42" s="29" t="str">
        <f t="shared" si="2"/>
        <v>No Discount</v>
      </c>
      <c r="M42" s="18" t="str">
        <f t="shared" si="0"/>
        <v>Medium</v>
      </c>
    </row>
    <row r="43" spans="1:13" ht="15.75" thickBot="1" x14ac:dyDescent="0.3">
      <c r="A43" s="16" t="s">
        <v>160</v>
      </c>
      <c r="B43" s="5" t="s">
        <v>120</v>
      </c>
      <c r="C43" s="5" t="s">
        <v>13</v>
      </c>
      <c r="D43" s="25" t="str">
        <f t="shared" si="4"/>
        <v>Item _Unknown_ BEV</v>
      </c>
      <c r="E43" s="27">
        <f t="shared" si="3"/>
        <v>20</v>
      </c>
      <c r="F43" s="6">
        <v>4</v>
      </c>
      <c r="G43" s="6">
        <v>80</v>
      </c>
      <c r="H43" s="5" t="s">
        <v>27</v>
      </c>
      <c r="I43" s="5" t="s">
        <v>16</v>
      </c>
      <c r="J43" s="40">
        <v>44748</v>
      </c>
      <c r="K43" s="29" t="b">
        <f t="shared" si="1"/>
        <v>0</v>
      </c>
      <c r="L43" s="29" t="str">
        <f t="shared" si="2"/>
        <v>No Discount</v>
      </c>
      <c r="M43" s="18" t="str">
        <f t="shared" si="0"/>
        <v>Loss</v>
      </c>
    </row>
    <row r="44" spans="1:13" ht="15.75" thickBot="1" x14ac:dyDescent="0.3">
      <c r="A44" s="17" t="s">
        <v>162</v>
      </c>
      <c r="B44" s="11" t="s">
        <v>94</v>
      </c>
      <c r="C44" s="11" t="s">
        <v>49</v>
      </c>
      <c r="D44" s="25" t="str">
        <f t="shared" si="4"/>
        <v>Item _Unknown_ FOO</v>
      </c>
      <c r="E44" s="27">
        <f t="shared" si="3"/>
        <v>27.5</v>
      </c>
      <c r="F44" s="12">
        <v>6</v>
      </c>
      <c r="G44" s="12">
        <v>165</v>
      </c>
      <c r="H44" s="11" t="s">
        <v>27</v>
      </c>
      <c r="I44" s="11" t="s">
        <v>16</v>
      </c>
      <c r="J44" s="41">
        <v>45657</v>
      </c>
      <c r="K44" s="29" t="b">
        <f t="shared" si="1"/>
        <v>0</v>
      </c>
      <c r="L44" s="29" t="str">
        <f t="shared" si="2"/>
        <v>No Discount</v>
      </c>
      <c r="M44" s="18" t="str">
        <f t="shared" si="0"/>
        <v>Medium</v>
      </c>
    </row>
    <row r="45" spans="1:13" ht="15.75" thickBot="1" x14ac:dyDescent="0.3">
      <c r="A45" s="16" t="s">
        <v>165</v>
      </c>
      <c r="B45" s="5" t="s">
        <v>48</v>
      </c>
      <c r="C45" s="5" t="s">
        <v>20</v>
      </c>
      <c r="D45" s="25" t="str">
        <f t="shared" si="4"/>
        <v>Item _Unknown_ FOO</v>
      </c>
      <c r="E45" s="27">
        <f t="shared" si="3"/>
        <v>27.5</v>
      </c>
      <c r="F45" s="6">
        <v>7</v>
      </c>
      <c r="G45" s="6">
        <v>192.5</v>
      </c>
      <c r="H45" s="5" t="s">
        <v>51</v>
      </c>
      <c r="I45" s="5" t="s">
        <v>39</v>
      </c>
      <c r="J45" s="40">
        <v>44632</v>
      </c>
      <c r="K45" s="29" t="b">
        <f t="shared" si="1"/>
        <v>0</v>
      </c>
      <c r="L45" s="29" t="str">
        <f t="shared" si="2"/>
        <v>No Discount</v>
      </c>
      <c r="M45" s="18" t="str">
        <f t="shared" si="0"/>
        <v>Medium</v>
      </c>
    </row>
    <row r="46" spans="1:13" ht="15.75" thickBot="1" x14ac:dyDescent="0.3">
      <c r="A46" s="17" t="s">
        <v>166</v>
      </c>
      <c r="B46" s="11" t="s">
        <v>29</v>
      </c>
      <c r="C46" s="11" t="s">
        <v>49</v>
      </c>
      <c r="D46" s="25" t="str">
        <f t="shared" si="4"/>
        <v>Item _Unknown_ COM</v>
      </c>
      <c r="E46" s="27">
        <f t="shared" si="3"/>
        <v>33.5</v>
      </c>
      <c r="F46" s="12">
        <v>10</v>
      </c>
      <c r="G46" s="12">
        <v>335</v>
      </c>
      <c r="H46" s="11" t="s">
        <v>27</v>
      </c>
      <c r="I46" s="11" t="s">
        <v>39</v>
      </c>
      <c r="J46" s="41">
        <v>45028</v>
      </c>
      <c r="K46" s="29" t="b">
        <f t="shared" si="1"/>
        <v>0</v>
      </c>
      <c r="L46" s="29" t="str">
        <f t="shared" si="2"/>
        <v>No Discount</v>
      </c>
      <c r="M46" s="18" t="str">
        <f t="shared" si="0"/>
        <v>Medium</v>
      </c>
    </row>
    <row r="47" spans="1:13" ht="30.75" thickBot="1" x14ac:dyDescent="0.3">
      <c r="A47" s="16" t="s">
        <v>167</v>
      </c>
      <c r="B47" s="5" t="s">
        <v>44</v>
      </c>
      <c r="C47" s="5" t="s">
        <v>158</v>
      </c>
      <c r="D47" s="25" t="str">
        <f t="shared" si="4"/>
        <v>Item _Unknown_ PAT</v>
      </c>
      <c r="E47" s="27">
        <f t="shared" si="3"/>
        <v>11</v>
      </c>
      <c r="F47" s="6">
        <v>6</v>
      </c>
      <c r="G47" s="6">
        <v>66</v>
      </c>
      <c r="H47" s="5" t="s">
        <v>27</v>
      </c>
      <c r="I47" s="5" t="s">
        <v>16</v>
      </c>
      <c r="J47" s="40">
        <v>45360</v>
      </c>
      <c r="K47" s="29" t="b">
        <f t="shared" si="1"/>
        <v>0</v>
      </c>
      <c r="L47" s="29" t="str">
        <f t="shared" si="2"/>
        <v>No Discount</v>
      </c>
      <c r="M47" s="18" t="str">
        <f t="shared" si="0"/>
        <v>Loss</v>
      </c>
    </row>
    <row r="48" spans="1:13" ht="15.75" thickBot="1" x14ac:dyDescent="0.3">
      <c r="A48" s="17" t="s">
        <v>169</v>
      </c>
      <c r="B48" s="11" t="s">
        <v>41</v>
      </c>
      <c r="C48" s="11" t="s">
        <v>30</v>
      </c>
      <c r="D48" s="25" t="str">
        <f t="shared" si="4"/>
        <v>Item _Unknown_ BUT</v>
      </c>
      <c r="E48" s="27">
        <f t="shared" si="3"/>
        <v>21.5</v>
      </c>
      <c r="F48" s="12">
        <v>10</v>
      </c>
      <c r="G48" s="12">
        <v>215</v>
      </c>
      <c r="H48" s="11" t="s">
        <v>15</v>
      </c>
      <c r="I48" s="11" t="s">
        <v>39</v>
      </c>
      <c r="J48" s="41">
        <v>44940</v>
      </c>
      <c r="K48" s="29" t="b">
        <f t="shared" si="1"/>
        <v>0</v>
      </c>
      <c r="L48" s="29" t="str">
        <f t="shared" si="2"/>
        <v>No Discount</v>
      </c>
      <c r="M48" s="18" t="str">
        <f t="shared" si="0"/>
        <v>Loss</v>
      </c>
    </row>
    <row r="49" spans="1:13" ht="15.75" thickBot="1" x14ac:dyDescent="0.3">
      <c r="A49" s="16" t="s">
        <v>171</v>
      </c>
      <c r="B49" s="5" t="s">
        <v>149</v>
      </c>
      <c r="C49" s="5" t="s">
        <v>20</v>
      </c>
      <c r="D49" s="25" t="str">
        <f t="shared" si="4"/>
        <v>Item _Unknown_ MIL</v>
      </c>
      <c r="E49" s="27">
        <f t="shared" si="3"/>
        <v>32</v>
      </c>
      <c r="F49" s="6">
        <v>3</v>
      </c>
      <c r="G49" s="6">
        <v>96</v>
      </c>
      <c r="H49" s="5" t="s">
        <v>27</v>
      </c>
      <c r="I49" s="5" t="s">
        <v>16</v>
      </c>
      <c r="J49" s="40">
        <v>45319</v>
      </c>
      <c r="K49" s="29" t="b">
        <f t="shared" si="1"/>
        <v>0</v>
      </c>
      <c r="L49" s="29" t="str">
        <f t="shared" si="2"/>
        <v>No Discount</v>
      </c>
      <c r="M49" s="18" t="str">
        <f t="shared" si="0"/>
        <v>Medium</v>
      </c>
    </row>
    <row r="50" spans="1:13" ht="15.75" thickBot="1" x14ac:dyDescent="0.3">
      <c r="A50" s="17" t="s">
        <v>174</v>
      </c>
      <c r="B50" s="11" t="s">
        <v>78</v>
      </c>
      <c r="C50" s="11" t="s">
        <v>42</v>
      </c>
      <c r="D50" s="25" t="str">
        <f t="shared" si="4"/>
        <v>Item _Unknown_ BUT</v>
      </c>
      <c r="E50" s="27">
        <f t="shared" si="3"/>
        <v>38</v>
      </c>
      <c r="F50" s="12">
        <v>5</v>
      </c>
      <c r="G50" s="12">
        <v>190</v>
      </c>
      <c r="H50" s="11" t="s">
        <v>15</v>
      </c>
      <c r="I50" s="11" t="s">
        <v>16</v>
      </c>
      <c r="J50" s="41">
        <v>45045</v>
      </c>
      <c r="K50" s="29" t="b">
        <f t="shared" si="1"/>
        <v>0</v>
      </c>
      <c r="L50" s="29" t="str">
        <f t="shared" si="2"/>
        <v>No Discount</v>
      </c>
      <c r="M50" s="18" t="str">
        <f t="shared" si="0"/>
        <v>High Profit</v>
      </c>
    </row>
    <row r="51" spans="1:13" ht="15.75" thickBot="1" x14ac:dyDescent="0.3">
      <c r="A51" s="16" t="s">
        <v>177</v>
      </c>
      <c r="B51" s="5" t="s">
        <v>71</v>
      </c>
      <c r="C51" s="5" t="s">
        <v>42</v>
      </c>
      <c r="D51" s="25" t="str">
        <f t="shared" si="4"/>
        <v>Item _Unknown_ COM</v>
      </c>
      <c r="E51" s="27">
        <f t="shared" si="3"/>
        <v>14</v>
      </c>
      <c r="F51" s="6">
        <v>3</v>
      </c>
      <c r="G51" s="6">
        <v>42</v>
      </c>
      <c r="H51" s="5" t="s">
        <v>15</v>
      </c>
      <c r="I51" s="5" t="s">
        <v>39</v>
      </c>
      <c r="J51" s="40">
        <v>45018</v>
      </c>
      <c r="K51" s="29" t="b">
        <f t="shared" si="1"/>
        <v>0</v>
      </c>
      <c r="L51" s="29" t="str">
        <f t="shared" si="2"/>
        <v>No Discount</v>
      </c>
      <c r="M51" s="18" t="str">
        <f t="shared" si="0"/>
        <v>Loss</v>
      </c>
    </row>
    <row r="52" spans="1:13" ht="30.75" thickBot="1" x14ac:dyDescent="0.3">
      <c r="A52" s="17" t="s">
        <v>179</v>
      </c>
      <c r="B52" s="11" t="s">
        <v>120</v>
      </c>
      <c r="C52" s="11" t="s">
        <v>158</v>
      </c>
      <c r="D52" s="25" t="str">
        <f t="shared" si="4"/>
        <v>Item _Unknown_ FOO</v>
      </c>
      <c r="E52" s="27">
        <f t="shared" si="3"/>
        <v>11</v>
      </c>
      <c r="F52" s="12">
        <v>1</v>
      </c>
      <c r="G52" s="12">
        <v>11</v>
      </c>
      <c r="H52" s="11" t="s">
        <v>27</v>
      </c>
      <c r="I52" s="11" t="s">
        <v>16</v>
      </c>
      <c r="J52" s="41">
        <v>45277</v>
      </c>
      <c r="K52" s="29" t="b">
        <f t="shared" si="1"/>
        <v>0</v>
      </c>
      <c r="L52" s="29" t="str">
        <f t="shared" si="2"/>
        <v>No Discount</v>
      </c>
      <c r="M52" s="18" t="str">
        <f t="shared" si="0"/>
        <v>Loss</v>
      </c>
    </row>
    <row r="53" spans="1:13" ht="30.75" thickBot="1" x14ac:dyDescent="0.3">
      <c r="A53" s="16" t="s">
        <v>181</v>
      </c>
      <c r="B53" s="5" t="s">
        <v>37</v>
      </c>
      <c r="C53" s="5" t="s">
        <v>158</v>
      </c>
      <c r="D53" s="25" t="str">
        <f t="shared" si="4"/>
        <v>Item _Unknown_ MIL</v>
      </c>
      <c r="E53" s="27">
        <f t="shared" si="3"/>
        <v>26</v>
      </c>
      <c r="F53" s="6">
        <v>9</v>
      </c>
      <c r="G53" s="6">
        <v>234</v>
      </c>
      <c r="H53" s="5" t="s">
        <v>51</v>
      </c>
      <c r="I53" s="5" t="s">
        <v>16</v>
      </c>
      <c r="J53" s="40">
        <v>45495</v>
      </c>
      <c r="K53" s="29" t="b">
        <f t="shared" si="1"/>
        <v>0</v>
      </c>
      <c r="L53" s="29" t="str">
        <f t="shared" si="2"/>
        <v>No Discount</v>
      </c>
      <c r="M53" s="18" t="str">
        <f t="shared" si="0"/>
        <v>Medium</v>
      </c>
    </row>
    <row r="54" spans="1:13" ht="15.75" thickBot="1" x14ac:dyDescent="0.3">
      <c r="A54" s="17" t="s">
        <v>184</v>
      </c>
      <c r="B54" s="11" t="s">
        <v>127</v>
      </c>
      <c r="C54" s="11" t="s">
        <v>42</v>
      </c>
      <c r="D54" s="25" t="str">
        <f t="shared" si="4"/>
        <v>Item _Unknown_ FUR</v>
      </c>
      <c r="E54" s="27">
        <f t="shared" si="3"/>
        <v>27.5</v>
      </c>
      <c r="F54" s="12">
        <v>9</v>
      </c>
      <c r="G54" s="12">
        <v>247.5</v>
      </c>
      <c r="H54" s="11" t="s">
        <v>51</v>
      </c>
      <c r="I54" s="11" t="s">
        <v>16</v>
      </c>
      <c r="J54" s="41">
        <v>45541</v>
      </c>
      <c r="K54" s="29" t="b">
        <f t="shared" si="1"/>
        <v>0</v>
      </c>
      <c r="L54" s="29" t="str">
        <f t="shared" si="2"/>
        <v>No Discount</v>
      </c>
      <c r="M54" s="18" t="str">
        <f t="shared" si="0"/>
        <v>Medium</v>
      </c>
    </row>
    <row r="55" spans="1:13" ht="15.75" thickBot="1" x14ac:dyDescent="0.3">
      <c r="A55" s="16" t="s">
        <v>185</v>
      </c>
      <c r="B55" s="5" t="s">
        <v>12</v>
      </c>
      <c r="C55" s="5" t="s">
        <v>20</v>
      </c>
      <c r="D55" s="25" t="str">
        <f t="shared" si="4"/>
        <v>Item _Unknown_ FUR</v>
      </c>
      <c r="E55" s="27">
        <f t="shared" si="3"/>
        <v>12.5</v>
      </c>
      <c r="F55" s="6">
        <v>7</v>
      </c>
      <c r="G55" s="6">
        <v>87.5</v>
      </c>
      <c r="H55" s="5" t="s">
        <v>27</v>
      </c>
      <c r="I55" s="5" t="s">
        <v>16</v>
      </c>
      <c r="J55" s="40">
        <v>44939</v>
      </c>
      <c r="K55" s="29" t="b">
        <f t="shared" si="1"/>
        <v>0</v>
      </c>
      <c r="L55" s="29" t="str">
        <f t="shared" si="2"/>
        <v>No Discount</v>
      </c>
      <c r="M55" s="18" t="str">
        <f t="shared" si="0"/>
        <v>Loss</v>
      </c>
    </row>
    <row r="56" spans="1:13" ht="30.75" thickBot="1" x14ac:dyDescent="0.3">
      <c r="A56" s="17" t="s">
        <v>188</v>
      </c>
      <c r="B56" s="11" t="s">
        <v>86</v>
      </c>
      <c r="C56" s="11" t="s">
        <v>158</v>
      </c>
      <c r="D56" s="25" t="str">
        <f t="shared" si="4"/>
        <v>Item _Unknown_ COM</v>
      </c>
      <c r="E56" s="27">
        <f t="shared" si="3"/>
        <v>39.5</v>
      </c>
      <c r="F56" s="12">
        <v>8</v>
      </c>
      <c r="G56" s="12">
        <v>316</v>
      </c>
      <c r="H56" s="11" t="s">
        <v>27</v>
      </c>
      <c r="I56" s="11" t="s">
        <v>39</v>
      </c>
      <c r="J56" s="41">
        <v>45034</v>
      </c>
      <c r="K56" s="29" t="b">
        <f t="shared" si="1"/>
        <v>0</v>
      </c>
      <c r="L56" s="29" t="str">
        <f t="shared" si="2"/>
        <v>No Discount</v>
      </c>
      <c r="M56" s="18" t="str">
        <f t="shared" si="0"/>
        <v>High Profit</v>
      </c>
    </row>
    <row r="57" spans="1:13" ht="15.75" thickBot="1" x14ac:dyDescent="0.3">
      <c r="A57" s="16" t="s">
        <v>191</v>
      </c>
      <c r="B57" s="5" t="s">
        <v>48</v>
      </c>
      <c r="C57" s="5" t="s">
        <v>20</v>
      </c>
      <c r="D57" s="25" t="str">
        <f t="shared" si="4"/>
        <v>Item _Unknown_ COM</v>
      </c>
      <c r="E57" s="27">
        <f t="shared" si="3"/>
        <v>27.5</v>
      </c>
      <c r="F57" s="6">
        <v>3</v>
      </c>
      <c r="G57" s="6">
        <v>82.5</v>
      </c>
      <c r="H57" s="5" t="s">
        <v>15</v>
      </c>
      <c r="I57" s="5" t="s">
        <v>16</v>
      </c>
      <c r="J57" s="40">
        <v>45603</v>
      </c>
      <c r="K57" s="29" t="b">
        <f t="shared" si="1"/>
        <v>0</v>
      </c>
      <c r="L57" s="29" t="str">
        <f t="shared" si="2"/>
        <v>No Discount</v>
      </c>
      <c r="M57" s="18" t="str">
        <f t="shared" si="0"/>
        <v>Medium</v>
      </c>
    </row>
    <row r="58" spans="1:13" ht="15.75" thickBot="1" x14ac:dyDescent="0.3">
      <c r="A58" s="17" t="s">
        <v>192</v>
      </c>
      <c r="B58" s="11" t="s">
        <v>149</v>
      </c>
      <c r="C58" s="11" t="s">
        <v>13</v>
      </c>
      <c r="D58" s="25" t="str">
        <f t="shared" si="4"/>
        <v>Item _Unknown_ FUR</v>
      </c>
      <c r="E58" s="27">
        <f t="shared" si="3"/>
        <v>20</v>
      </c>
      <c r="F58" s="12">
        <v>9</v>
      </c>
      <c r="G58" s="12">
        <v>180</v>
      </c>
      <c r="H58" s="11" t="s">
        <v>27</v>
      </c>
      <c r="I58" s="11" t="s">
        <v>39</v>
      </c>
      <c r="J58" s="41">
        <v>45064</v>
      </c>
      <c r="K58" s="29" t="b">
        <f t="shared" si="1"/>
        <v>0</v>
      </c>
      <c r="L58" s="29" t="str">
        <f t="shared" si="2"/>
        <v>No Discount</v>
      </c>
      <c r="M58" s="18" t="str">
        <f t="shared" si="0"/>
        <v>Loss</v>
      </c>
    </row>
    <row r="59" spans="1:13" ht="30.75" thickBot="1" x14ac:dyDescent="0.3">
      <c r="A59" s="16" t="s">
        <v>194</v>
      </c>
      <c r="B59" s="5" t="s">
        <v>90</v>
      </c>
      <c r="C59" s="5" t="s">
        <v>158</v>
      </c>
      <c r="D59" s="25" t="str">
        <f t="shared" si="4"/>
        <v>Item _Unknown_ MIL</v>
      </c>
      <c r="E59" s="27">
        <f t="shared" si="3"/>
        <v>36.5</v>
      </c>
      <c r="F59" s="6">
        <v>7</v>
      </c>
      <c r="G59" s="6">
        <v>255.5</v>
      </c>
      <c r="H59" s="5" t="s">
        <v>51</v>
      </c>
      <c r="I59" s="5" t="s">
        <v>39</v>
      </c>
      <c r="J59" s="40">
        <v>44636</v>
      </c>
      <c r="K59" s="29" t="b">
        <f t="shared" si="1"/>
        <v>0</v>
      </c>
      <c r="L59" s="29" t="str">
        <f t="shared" si="2"/>
        <v>No Discount</v>
      </c>
      <c r="M59" s="18" t="str">
        <f t="shared" si="0"/>
        <v>High Profit</v>
      </c>
    </row>
    <row r="60" spans="1:13" ht="15.75" thickBot="1" x14ac:dyDescent="0.3">
      <c r="A60" s="17" t="s">
        <v>196</v>
      </c>
      <c r="B60" s="11" t="s">
        <v>78</v>
      </c>
      <c r="C60" s="11" t="s">
        <v>30</v>
      </c>
      <c r="D60" s="25" t="str">
        <f t="shared" si="4"/>
        <v>Item _Unknown_ COM</v>
      </c>
      <c r="E60" s="27">
        <f t="shared" si="3"/>
        <v>36.5</v>
      </c>
      <c r="F60" s="12">
        <v>10</v>
      </c>
      <c r="G60" s="12">
        <v>365</v>
      </c>
      <c r="H60" s="11" t="s">
        <v>27</v>
      </c>
      <c r="I60" s="11" t="s">
        <v>16</v>
      </c>
      <c r="J60" s="41">
        <v>45506</v>
      </c>
      <c r="K60" s="29" t="b">
        <f t="shared" si="1"/>
        <v>0</v>
      </c>
      <c r="L60" s="29" t="str">
        <f t="shared" si="2"/>
        <v>No Discount</v>
      </c>
      <c r="M60" s="18" t="str">
        <f t="shared" si="0"/>
        <v>High Profit</v>
      </c>
    </row>
    <row r="61" spans="1:13" ht="15.75" thickBot="1" x14ac:dyDescent="0.3">
      <c r="A61" s="16" t="s">
        <v>198</v>
      </c>
      <c r="B61" s="5" t="s">
        <v>74</v>
      </c>
      <c r="C61" s="5" t="s">
        <v>49</v>
      </c>
      <c r="D61" s="25" t="str">
        <f t="shared" si="4"/>
        <v>Item _Unknown_ MIL</v>
      </c>
      <c r="E61" s="27">
        <f t="shared" si="3"/>
        <v>6.5</v>
      </c>
      <c r="F61" s="6">
        <v>6</v>
      </c>
      <c r="G61" s="6">
        <v>39</v>
      </c>
      <c r="H61" s="5" t="s">
        <v>27</v>
      </c>
      <c r="I61" s="5" t="s">
        <v>39</v>
      </c>
      <c r="J61" s="40">
        <v>44846</v>
      </c>
      <c r="K61" s="29" t="b">
        <f t="shared" si="1"/>
        <v>0</v>
      </c>
      <c r="L61" s="29" t="str">
        <f t="shared" si="2"/>
        <v>No Discount</v>
      </c>
      <c r="M61" s="18" t="str">
        <f t="shared" si="0"/>
        <v>Loss</v>
      </c>
    </row>
    <row r="62" spans="1:13" ht="15.75" thickBot="1" x14ac:dyDescent="0.3">
      <c r="A62" s="17" t="s">
        <v>200</v>
      </c>
      <c r="B62" s="11" t="s">
        <v>78</v>
      </c>
      <c r="C62" s="11" t="s">
        <v>13</v>
      </c>
      <c r="D62" s="25" t="str">
        <f t="shared" si="4"/>
        <v>Item _Unknown_ PAT</v>
      </c>
      <c r="E62" s="27">
        <f t="shared" si="3"/>
        <v>24.5</v>
      </c>
      <c r="F62" s="12">
        <v>10</v>
      </c>
      <c r="G62" s="12">
        <v>245</v>
      </c>
      <c r="H62" s="11" t="s">
        <v>27</v>
      </c>
      <c r="I62" s="11" t="s">
        <v>39</v>
      </c>
      <c r="J62" s="41">
        <v>44601</v>
      </c>
      <c r="K62" s="29" t="b">
        <f t="shared" si="1"/>
        <v>0</v>
      </c>
      <c r="L62" s="29" t="str">
        <f t="shared" si="2"/>
        <v>No Discount</v>
      </c>
      <c r="M62" s="18" t="str">
        <f t="shared" si="0"/>
        <v>Loss</v>
      </c>
    </row>
    <row r="63" spans="1:13" ht="15.75" thickBot="1" x14ac:dyDescent="0.3">
      <c r="A63" s="16" t="s">
        <v>202</v>
      </c>
      <c r="B63" s="5" t="s">
        <v>99</v>
      </c>
      <c r="C63" s="5" t="s">
        <v>13</v>
      </c>
      <c r="D63" s="25" t="str">
        <f t="shared" si="4"/>
        <v>Item _Unknown_ COM</v>
      </c>
      <c r="E63" s="27">
        <f t="shared" si="3"/>
        <v>21.5</v>
      </c>
      <c r="F63" s="6">
        <v>8</v>
      </c>
      <c r="G63" s="6">
        <v>172</v>
      </c>
      <c r="H63" s="5" t="s">
        <v>51</v>
      </c>
      <c r="I63" s="5" t="s">
        <v>39</v>
      </c>
      <c r="J63" s="40">
        <v>45257</v>
      </c>
      <c r="K63" s="29" t="b">
        <f t="shared" si="1"/>
        <v>0</v>
      </c>
      <c r="L63" s="29" t="str">
        <f t="shared" si="2"/>
        <v>No Discount</v>
      </c>
      <c r="M63" s="18" t="str">
        <f t="shared" si="0"/>
        <v>Loss</v>
      </c>
    </row>
    <row r="64" spans="1:13" ht="15.75" thickBot="1" x14ac:dyDescent="0.3">
      <c r="A64" s="17" t="s">
        <v>205</v>
      </c>
      <c r="B64" s="11" t="s">
        <v>206</v>
      </c>
      <c r="C64" s="11" t="s">
        <v>49</v>
      </c>
      <c r="D64" s="25" t="str">
        <f t="shared" si="4"/>
        <v>Item _Unknown_ FOO</v>
      </c>
      <c r="E64" s="27">
        <f t="shared" si="3"/>
        <v>33.5</v>
      </c>
      <c r="F64" s="12">
        <v>4</v>
      </c>
      <c r="G64" s="12">
        <v>134</v>
      </c>
      <c r="H64" s="11" t="s">
        <v>27</v>
      </c>
      <c r="I64" s="11" t="s">
        <v>16</v>
      </c>
      <c r="J64" s="41">
        <v>45251</v>
      </c>
      <c r="K64" s="29" t="b">
        <f t="shared" si="1"/>
        <v>0</v>
      </c>
      <c r="L64" s="29" t="str">
        <f t="shared" si="2"/>
        <v>No Discount</v>
      </c>
      <c r="M64" s="18" t="str">
        <f t="shared" si="0"/>
        <v>Medium</v>
      </c>
    </row>
    <row r="65" spans="1:13" ht="15.75" thickBot="1" x14ac:dyDescent="0.3">
      <c r="A65" s="16" t="s">
        <v>208</v>
      </c>
      <c r="B65" s="5" t="s">
        <v>136</v>
      </c>
      <c r="C65" s="5" t="s">
        <v>30</v>
      </c>
      <c r="D65" s="25" t="str">
        <f t="shared" si="4"/>
        <v>Item _Unknown_ BUT</v>
      </c>
      <c r="E65" s="27">
        <f t="shared" ref="E65:E124" si="6">G65/F65</f>
        <v>30.5</v>
      </c>
      <c r="F65" s="6">
        <v>4</v>
      </c>
      <c r="G65" s="6">
        <v>122</v>
      </c>
      <c r="H65" s="5" t="s">
        <v>27</v>
      </c>
      <c r="I65" s="5" t="s">
        <v>16</v>
      </c>
      <c r="J65" s="40">
        <v>44833</v>
      </c>
      <c r="K65" s="29" t="b">
        <f t="shared" si="1"/>
        <v>0</v>
      </c>
      <c r="L65" s="29" t="str">
        <f t="shared" si="2"/>
        <v>No Discount</v>
      </c>
      <c r="M65" s="18" t="str">
        <f t="shared" si="0"/>
        <v>Medium</v>
      </c>
    </row>
    <row r="66" spans="1:13" ht="15.75" thickBot="1" x14ac:dyDescent="0.3">
      <c r="A66" s="17" t="s">
        <v>211</v>
      </c>
      <c r="B66" s="11" t="s">
        <v>74</v>
      </c>
      <c r="C66" s="11" t="s">
        <v>13</v>
      </c>
      <c r="D66" s="25" t="str">
        <f t="shared" si="4"/>
        <v>Item _Unknown_ PAT</v>
      </c>
      <c r="E66" s="27">
        <f t="shared" si="6"/>
        <v>5</v>
      </c>
      <c r="F66" s="12">
        <v>6</v>
      </c>
      <c r="G66" s="12">
        <v>30</v>
      </c>
      <c r="H66" s="11" t="s">
        <v>15</v>
      </c>
      <c r="I66" s="11" t="s">
        <v>16</v>
      </c>
      <c r="J66" s="41">
        <v>44912</v>
      </c>
      <c r="K66" s="29" t="b">
        <f t="shared" ref="K66:K129" si="7">IF(ROUND(E66*F66,2)=G66,FALSE,TRUE)</f>
        <v>0</v>
      </c>
      <c r="L66" s="29" t="str">
        <f t="shared" si="2"/>
        <v>No Discount</v>
      </c>
      <c r="M66" s="18" t="str">
        <f t="shared" ref="M66:M129" si="8">IF(E66&gt;=35,"High Profit",IF(E66&gt;=25,"Medium","Loss"))</f>
        <v>Loss</v>
      </c>
    </row>
    <row r="67" spans="1:13" ht="15.75" thickBot="1" x14ac:dyDescent="0.3">
      <c r="A67" s="16" t="s">
        <v>214</v>
      </c>
      <c r="B67" s="5" t="s">
        <v>48</v>
      </c>
      <c r="C67" s="5" t="s">
        <v>25</v>
      </c>
      <c r="D67" s="25" t="str">
        <f t="shared" ref="D67:D126" si="9">"Item _Unknown_ "&amp;UPPER(LEFT(C63,3))</f>
        <v>Item _Unknown_ PAT</v>
      </c>
      <c r="E67" s="27">
        <f t="shared" si="6"/>
        <v>9.5</v>
      </c>
      <c r="F67" s="6">
        <v>7</v>
      </c>
      <c r="G67" s="6">
        <v>66.5</v>
      </c>
      <c r="H67" s="5" t="s">
        <v>15</v>
      </c>
      <c r="I67" s="5" t="s">
        <v>39</v>
      </c>
      <c r="J67" s="40">
        <v>45010</v>
      </c>
      <c r="K67" s="29" t="b">
        <f t="shared" si="7"/>
        <v>0</v>
      </c>
      <c r="L67" s="29" t="str">
        <f t="shared" ref="L67:L130" si="10">IF(K67=FALSE,"No Discount","Discount Applied")</f>
        <v>No Discount</v>
      </c>
      <c r="M67" s="18" t="str">
        <f t="shared" si="8"/>
        <v>Loss</v>
      </c>
    </row>
    <row r="68" spans="1:13" ht="15.75" thickBot="1" x14ac:dyDescent="0.3">
      <c r="A68" s="17" t="s">
        <v>217</v>
      </c>
      <c r="B68" s="11" t="s">
        <v>48</v>
      </c>
      <c r="C68" s="11" t="s">
        <v>42</v>
      </c>
      <c r="D68" s="25" t="str">
        <f t="shared" si="9"/>
        <v>Item _Unknown_ BUT</v>
      </c>
      <c r="E68" s="27">
        <f t="shared" si="6"/>
        <v>36.5</v>
      </c>
      <c r="F68" s="12">
        <v>10</v>
      </c>
      <c r="G68" s="12">
        <v>365</v>
      </c>
      <c r="H68" s="11" t="s">
        <v>15</v>
      </c>
      <c r="I68" s="11" t="s">
        <v>39</v>
      </c>
      <c r="J68" s="41">
        <v>45284</v>
      </c>
      <c r="K68" s="29" t="b">
        <f t="shared" si="7"/>
        <v>0</v>
      </c>
      <c r="L68" s="29" t="str">
        <f t="shared" si="10"/>
        <v>No Discount</v>
      </c>
      <c r="M68" s="18" t="str">
        <f t="shared" si="8"/>
        <v>High Profit</v>
      </c>
    </row>
    <row r="69" spans="1:13" ht="15.75" thickBot="1" x14ac:dyDescent="0.3">
      <c r="A69" s="16" t="s">
        <v>220</v>
      </c>
      <c r="B69" s="5" t="s">
        <v>41</v>
      </c>
      <c r="C69" s="5" t="s">
        <v>13</v>
      </c>
      <c r="D69" s="25" t="str">
        <f t="shared" si="9"/>
        <v>Item _Unknown_ FOO</v>
      </c>
      <c r="E69" s="27">
        <f t="shared" si="6"/>
        <v>14</v>
      </c>
      <c r="F69" s="6">
        <v>9</v>
      </c>
      <c r="G69" s="6">
        <v>126</v>
      </c>
      <c r="H69" s="5" t="s">
        <v>15</v>
      </c>
      <c r="I69" s="5" t="s">
        <v>39</v>
      </c>
      <c r="J69" s="40">
        <v>45669</v>
      </c>
      <c r="K69" s="29" t="b">
        <f t="shared" si="7"/>
        <v>0</v>
      </c>
      <c r="L69" s="29" t="str">
        <f t="shared" si="10"/>
        <v>No Discount</v>
      </c>
      <c r="M69" s="18" t="str">
        <f t="shared" si="8"/>
        <v>Loss</v>
      </c>
    </row>
    <row r="70" spans="1:13" ht="15.75" thickBot="1" x14ac:dyDescent="0.3">
      <c r="A70" s="17" t="s">
        <v>222</v>
      </c>
      <c r="B70" s="11" t="s">
        <v>120</v>
      </c>
      <c r="C70" s="11" t="s">
        <v>25</v>
      </c>
      <c r="D70" s="25" t="str">
        <f t="shared" si="9"/>
        <v>Item _Unknown_ PAT</v>
      </c>
      <c r="E70" s="27">
        <f t="shared" si="6"/>
        <v>14</v>
      </c>
      <c r="F70" s="12">
        <v>6</v>
      </c>
      <c r="G70" s="12">
        <v>84</v>
      </c>
      <c r="H70" s="11" t="s">
        <v>15</v>
      </c>
      <c r="I70" s="11" t="s">
        <v>16</v>
      </c>
      <c r="J70" s="41">
        <v>45285</v>
      </c>
      <c r="K70" s="29" t="b">
        <f t="shared" si="7"/>
        <v>0</v>
      </c>
      <c r="L70" s="29" t="str">
        <f t="shared" si="10"/>
        <v>No Discount</v>
      </c>
      <c r="M70" s="18" t="str">
        <f t="shared" si="8"/>
        <v>Loss</v>
      </c>
    </row>
    <row r="71" spans="1:13" ht="15.75" thickBot="1" x14ac:dyDescent="0.3">
      <c r="A71" s="16" t="s">
        <v>224</v>
      </c>
      <c r="B71" s="5" t="s">
        <v>127</v>
      </c>
      <c r="C71" s="5" t="s">
        <v>20</v>
      </c>
      <c r="D71" s="25" t="str">
        <f t="shared" si="9"/>
        <v>Item _Unknown_ BEV</v>
      </c>
      <c r="E71" s="27">
        <f t="shared" si="6"/>
        <v>32</v>
      </c>
      <c r="F71" s="6">
        <v>10</v>
      </c>
      <c r="G71" s="6">
        <v>320</v>
      </c>
      <c r="H71" s="5" t="s">
        <v>15</v>
      </c>
      <c r="I71" s="5" t="s">
        <v>39</v>
      </c>
      <c r="J71" s="40">
        <v>44945</v>
      </c>
      <c r="K71" s="29" t="b">
        <f t="shared" si="7"/>
        <v>0</v>
      </c>
      <c r="L71" s="29" t="str">
        <f t="shared" si="10"/>
        <v>No Discount</v>
      </c>
      <c r="M71" s="18" t="str">
        <f t="shared" si="8"/>
        <v>Medium</v>
      </c>
    </row>
    <row r="72" spans="1:13" ht="15.75" thickBot="1" x14ac:dyDescent="0.3">
      <c r="A72" s="17" t="s">
        <v>226</v>
      </c>
      <c r="B72" s="11" t="s">
        <v>127</v>
      </c>
      <c r="C72" s="11" t="s">
        <v>25</v>
      </c>
      <c r="D72" s="25" t="str">
        <f t="shared" si="9"/>
        <v>Item _Unknown_ FUR</v>
      </c>
      <c r="E72" s="27">
        <f t="shared" si="6"/>
        <v>36.5</v>
      </c>
      <c r="F72" s="12">
        <v>6</v>
      </c>
      <c r="G72" s="12">
        <v>219</v>
      </c>
      <c r="H72" s="11" t="s">
        <v>51</v>
      </c>
      <c r="I72" s="11" t="s">
        <v>39</v>
      </c>
      <c r="J72" s="41">
        <v>44964</v>
      </c>
      <c r="K72" s="29" t="b">
        <f t="shared" si="7"/>
        <v>0</v>
      </c>
      <c r="L72" s="29" t="str">
        <f t="shared" si="10"/>
        <v>No Discount</v>
      </c>
      <c r="M72" s="18" t="str">
        <f t="shared" si="8"/>
        <v>High Profit</v>
      </c>
    </row>
    <row r="73" spans="1:13" ht="30.75" thickBot="1" x14ac:dyDescent="0.3">
      <c r="A73" s="16" t="s">
        <v>227</v>
      </c>
      <c r="B73" s="5" t="s">
        <v>12</v>
      </c>
      <c r="C73" s="5" t="s">
        <v>158</v>
      </c>
      <c r="D73" s="25" t="str">
        <f t="shared" si="9"/>
        <v>Item _Unknown_ PAT</v>
      </c>
      <c r="E73" s="27">
        <f t="shared" si="6"/>
        <v>33.5</v>
      </c>
      <c r="F73" s="6">
        <v>10</v>
      </c>
      <c r="G73" s="6">
        <v>335</v>
      </c>
      <c r="H73" s="5" t="s">
        <v>27</v>
      </c>
      <c r="I73" s="5" t="s">
        <v>16</v>
      </c>
      <c r="J73" s="40">
        <v>44666</v>
      </c>
      <c r="K73" s="29" t="b">
        <f t="shared" si="7"/>
        <v>0</v>
      </c>
      <c r="L73" s="29" t="str">
        <f t="shared" si="10"/>
        <v>No Discount</v>
      </c>
      <c r="M73" s="18" t="str">
        <f t="shared" si="8"/>
        <v>Medium</v>
      </c>
    </row>
    <row r="74" spans="1:13" ht="15.75" thickBot="1" x14ac:dyDescent="0.3">
      <c r="A74" s="17" t="s">
        <v>230</v>
      </c>
      <c r="B74" s="11" t="s">
        <v>149</v>
      </c>
      <c r="C74" s="11" t="s">
        <v>30</v>
      </c>
      <c r="D74" s="25" t="str">
        <f t="shared" si="9"/>
        <v>Item _Unknown_ BEV</v>
      </c>
      <c r="E74" s="27">
        <f t="shared" si="6"/>
        <v>33.5</v>
      </c>
      <c r="F74" s="12">
        <v>2</v>
      </c>
      <c r="G74" s="12">
        <v>67</v>
      </c>
      <c r="H74" s="11" t="s">
        <v>15</v>
      </c>
      <c r="I74" s="11" t="s">
        <v>16</v>
      </c>
      <c r="J74" s="41">
        <v>45040</v>
      </c>
      <c r="K74" s="29" t="b">
        <f t="shared" si="7"/>
        <v>0</v>
      </c>
      <c r="L74" s="29" t="str">
        <f t="shared" si="10"/>
        <v>No Discount</v>
      </c>
      <c r="M74" s="18" t="str">
        <f t="shared" si="8"/>
        <v>Medium</v>
      </c>
    </row>
    <row r="75" spans="1:13" ht="30.75" thickBot="1" x14ac:dyDescent="0.3">
      <c r="A75" s="16" t="s">
        <v>233</v>
      </c>
      <c r="B75" s="5" t="s">
        <v>117</v>
      </c>
      <c r="C75" s="5" t="s">
        <v>158</v>
      </c>
      <c r="D75" s="25" t="str">
        <f t="shared" si="9"/>
        <v>Item _Unknown_ MIL</v>
      </c>
      <c r="E75" s="27">
        <f t="shared" si="6"/>
        <v>36.5</v>
      </c>
      <c r="F75" s="6">
        <v>4</v>
      </c>
      <c r="G75" s="6">
        <v>146</v>
      </c>
      <c r="H75" s="5" t="s">
        <v>15</v>
      </c>
      <c r="I75" s="5" t="s">
        <v>16</v>
      </c>
      <c r="J75" s="40">
        <v>45487</v>
      </c>
      <c r="K75" s="29" t="b">
        <f t="shared" si="7"/>
        <v>0</v>
      </c>
      <c r="L75" s="29" t="str">
        <f t="shared" si="10"/>
        <v>No Discount</v>
      </c>
      <c r="M75" s="18" t="str">
        <f t="shared" si="8"/>
        <v>High Profit</v>
      </c>
    </row>
    <row r="76" spans="1:13" ht="15.75" thickBot="1" x14ac:dyDescent="0.3">
      <c r="A76" s="17" t="s">
        <v>235</v>
      </c>
      <c r="B76" s="11" t="s">
        <v>37</v>
      </c>
      <c r="C76" s="11" t="s">
        <v>13</v>
      </c>
      <c r="D76" s="25" t="str">
        <f t="shared" si="9"/>
        <v>Item _Unknown_ BEV</v>
      </c>
      <c r="E76" s="27">
        <f t="shared" si="6"/>
        <v>29</v>
      </c>
      <c r="F76" s="12">
        <v>10</v>
      </c>
      <c r="G76" s="12">
        <v>290</v>
      </c>
      <c r="H76" s="11" t="s">
        <v>27</v>
      </c>
      <c r="I76" s="11" t="s">
        <v>39</v>
      </c>
      <c r="J76" s="41">
        <v>45643</v>
      </c>
      <c r="K76" s="29" t="b">
        <f t="shared" si="7"/>
        <v>0</v>
      </c>
      <c r="L76" s="29" t="str">
        <f t="shared" si="10"/>
        <v>No Discount</v>
      </c>
      <c r="M76" s="18" t="str">
        <f t="shared" si="8"/>
        <v>Medium</v>
      </c>
    </row>
    <row r="77" spans="1:13" ht="30.75" thickBot="1" x14ac:dyDescent="0.3">
      <c r="A77" s="16" t="s">
        <v>237</v>
      </c>
      <c r="B77" s="5" t="s">
        <v>86</v>
      </c>
      <c r="C77" s="5" t="s">
        <v>75</v>
      </c>
      <c r="D77" s="25" t="str">
        <f t="shared" si="9"/>
        <v>Item _Unknown_ COM</v>
      </c>
      <c r="E77" s="27">
        <f t="shared" si="6"/>
        <v>35</v>
      </c>
      <c r="F77" s="6">
        <v>2</v>
      </c>
      <c r="G77" s="6">
        <v>70</v>
      </c>
      <c r="H77" s="5" t="s">
        <v>15</v>
      </c>
      <c r="I77" s="5" t="s">
        <v>39</v>
      </c>
      <c r="J77" s="40">
        <v>45055</v>
      </c>
      <c r="K77" s="29" t="b">
        <f t="shared" si="7"/>
        <v>0</v>
      </c>
      <c r="L77" s="29" t="str">
        <f t="shared" si="10"/>
        <v>No Discount</v>
      </c>
      <c r="M77" s="18" t="str">
        <f t="shared" si="8"/>
        <v>High Profit</v>
      </c>
    </row>
    <row r="78" spans="1:13" ht="15.75" thickBot="1" x14ac:dyDescent="0.3">
      <c r="A78" s="17" t="s">
        <v>238</v>
      </c>
      <c r="B78" s="11" t="s">
        <v>12</v>
      </c>
      <c r="C78" s="11" t="s">
        <v>42</v>
      </c>
      <c r="D78" s="25" t="str">
        <f t="shared" si="9"/>
        <v>Item _Unknown_ FOO</v>
      </c>
      <c r="E78" s="27">
        <f t="shared" si="6"/>
        <v>20</v>
      </c>
      <c r="F78" s="12">
        <v>8</v>
      </c>
      <c r="G78" s="12">
        <v>160</v>
      </c>
      <c r="H78" s="11" t="s">
        <v>15</v>
      </c>
      <c r="I78" s="11" t="s">
        <v>39</v>
      </c>
      <c r="J78" s="41">
        <v>45526</v>
      </c>
      <c r="K78" s="29" t="b">
        <f t="shared" si="7"/>
        <v>0</v>
      </c>
      <c r="L78" s="29" t="str">
        <f t="shared" si="10"/>
        <v>No Discount</v>
      </c>
      <c r="M78" s="18" t="str">
        <f t="shared" si="8"/>
        <v>Loss</v>
      </c>
    </row>
    <row r="79" spans="1:13" ht="15.75" thickBot="1" x14ac:dyDescent="0.3">
      <c r="A79" s="17" t="s">
        <v>243</v>
      </c>
      <c r="B79" s="11" t="s">
        <v>90</v>
      </c>
      <c r="C79" s="11" t="s">
        <v>13</v>
      </c>
      <c r="D79" s="25" t="str">
        <f>"Item _Unknown_ "&amp;UPPER(LEFT(C76,3))</f>
        <v>Item _Unknown_ PAT</v>
      </c>
      <c r="E79" s="27">
        <f t="shared" si="6"/>
        <v>41</v>
      </c>
      <c r="F79" s="12">
        <v>2</v>
      </c>
      <c r="G79" s="12">
        <v>82</v>
      </c>
      <c r="H79" s="11" t="s">
        <v>27</v>
      </c>
      <c r="I79" s="11" t="s">
        <v>16</v>
      </c>
      <c r="J79" s="41">
        <v>45113</v>
      </c>
      <c r="K79" s="29" t="b">
        <f t="shared" si="7"/>
        <v>0</v>
      </c>
      <c r="L79" s="29" t="str">
        <f t="shared" si="10"/>
        <v>No Discount</v>
      </c>
      <c r="M79" s="18" t="str">
        <f t="shared" si="8"/>
        <v>High Profit</v>
      </c>
    </row>
    <row r="80" spans="1:13" ht="15.75" thickBot="1" x14ac:dyDescent="0.3">
      <c r="A80" s="16" t="s">
        <v>245</v>
      </c>
      <c r="B80" s="5" t="s">
        <v>106</v>
      </c>
      <c r="C80" s="5" t="s">
        <v>30</v>
      </c>
      <c r="D80" s="25" t="str">
        <f>"Item _Unknown_ "&amp;UPPER(LEFT(C77,3))</f>
        <v>Item _Unknown_ ELE</v>
      </c>
      <c r="E80" s="27">
        <f t="shared" si="6"/>
        <v>14</v>
      </c>
      <c r="F80" s="6">
        <v>1</v>
      </c>
      <c r="G80" s="6">
        <v>14</v>
      </c>
      <c r="H80" s="5" t="s">
        <v>27</v>
      </c>
      <c r="I80" s="5" t="s">
        <v>39</v>
      </c>
      <c r="J80" s="40">
        <v>45409</v>
      </c>
      <c r="K80" s="29" t="b">
        <f t="shared" si="7"/>
        <v>0</v>
      </c>
      <c r="L80" s="29" t="str">
        <f t="shared" si="10"/>
        <v>No Discount</v>
      </c>
      <c r="M80" s="18" t="str">
        <f t="shared" si="8"/>
        <v>Loss</v>
      </c>
    </row>
    <row r="81" spans="1:13" ht="15.75" thickBot="1" x14ac:dyDescent="0.3">
      <c r="A81" s="17" t="s">
        <v>248</v>
      </c>
      <c r="B81" s="11" t="s">
        <v>74</v>
      </c>
      <c r="C81" s="11" t="s">
        <v>42</v>
      </c>
      <c r="D81" s="25" t="str">
        <f>"Item _Unknown_ "&amp;UPPER(LEFT(C78,3))</f>
        <v>Item _Unknown_ FUR</v>
      </c>
      <c r="E81" s="27">
        <f t="shared" si="6"/>
        <v>35</v>
      </c>
      <c r="F81" s="12">
        <v>3</v>
      </c>
      <c r="G81" s="12">
        <v>105</v>
      </c>
      <c r="H81" s="11" t="s">
        <v>15</v>
      </c>
      <c r="I81" s="11" t="s">
        <v>16</v>
      </c>
      <c r="J81" s="41">
        <v>45017</v>
      </c>
      <c r="K81" s="29" t="b">
        <f t="shared" si="7"/>
        <v>0</v>
      </c>
      <c r="L81" s="29" t="str">
        <f t="shared" si="10"/>
        <v>No Discount</v>
      </c>
      <c r="M81" s="18" t="str">
        <f t="shared" si="8"/>
        <v>High Profit</v>
      </c>
    </row>
    <row r="82" spans="1:13" ht="15.75" thickBot="1" x14ac:dyDescent="0.3">
      <c r="A82" s="16" t="s">
        <v>250</v>
      </c>
      <c r="B82" s="5" t="s">
        <v>99</v>
      </c>
      <c r="C82" s="5" t="s">
        <v>42</v>
      </c>
      <c r="D82" s="25" t="str">
        <f>"Item _Unknown_ "&amp;UPPER(LEFT(C73,3))</f>
        <v>Item _Unknown_ COM</v>
      </c>
      <c r="E82" s="27">
        <f t="shared" si="6"/>
        <v>39.5</v>
      </c>
      <c r="F82" s="6">
        <v>9</v>
      </c>
      <c r="G82" s="6">
        <v>355.5</v>
      </c>
      <c r="H82" s="5" t="s">
        <v>27</v>
      </c>
      <c r="I82" s="5" t="s">
        <v>39</v>
      </c>
      <c r="J82" s="40">
        <v>44902</v>
      </c>
      <c r="K82" s="29" t="b">
        <f t="shared" si="7"/>
        <v>0</v>
      </c>
      <c r="L82" s="29" t="str">
        <f t="shared" si="10"/>
        <v>No Discount</v>
      </c>
      <c r="M82" s="18" t="str">
        <f t="shared" si="8"/>
        <v>High Profit</v>
      </c>
    </row>
    <row r="83" spans="1:13" ht="15.75" thickBot="1" x14ac:dyDescent="0.3">
      <c r="A83" s="17" t="s">
        <v>252</v>
      </c>
      <c r="B83" s="11" t="s">
        <v>149</v>
      </c>
      <c r="C83" s="11" t="s">
        <v>20</v>
      </c>
      <c r="D83" s="25" t="str">
        <f t="shared" si="9"/>
        <v>Item _Unknown_ PAT</v>
      </c>
      <c r="E83" s="27">
        <f t="shared" si="6"/>
        <v>15.5</v>
      </c>
      <c r="F83" s="12">
        <v>8</v>
      </c>
      <c r="G83" s="12">
        <v>124</v>
      </c>
      <c r="H83" s="11" t="s">
        <v>51</v>
      </c>
      <c r="I83" s="11" t="s">
        <v>16</v>
      </c>
      <c r="J83" s="41">
        <v>45463</v>
      </c>
      <c r="K83" s="29" t="b">
        <f t="shared" si="7"/>
        <v>0</v>
      </c>
      <c r="L83" s="29" t="str">
        <f t="shared" si="10"/>
        <v>No Discount</v>
      </c>
      <c r="M83" s="18" t="str">
        <f t="shared" si="8"/>
        <v>Loss</v>
      </c>
    </row>
    <row r="84" spans="1:13" ht="15.75" thickBot="1" x14ac:dyDescent="0.3">
      <c r="A84" s="16" t="s">
        <v>255</v>
      </c>
      <c r="B84" s="5" t="s">
        <v>19</v>
      </c>
      <c r="C84" s="5" t="s">
        <v>30</v>
      </c>
      <c r="D84" s="25" t="str">
        <f t="shared" si="9"/>
        <v>Item _Unknown_ FOO</v>
      </c>
      <c r="E84" s="27">
        <f t="shared" si="6"/>
        <v>9.5</v>
      </c>
      <c r="F84" s="6">
        <v>3</v>
      </c>
      <c r="G84" s="6">
        <v>28.5</v>
      </c>
      <c r="H84" s="5" t="s">
        <v>51</v>
      </c>
      <c r="I84" s="5" t="s">
        <v>39</v>
      </c>
      <c r="J84" s="40">
        <v>45524</v>
      </c>
      <c r="K84" s="29" t="b">
        <f t="shared" si="7"/>
        <v>0</v>
      </c>
      <c r="L84" s="29" t="str">
        <f t="shared" si="10"/>
        <v>No Discount</v>
      </c>
      <c r="M84" s="18" t="str">
        <f t="shared" si="8"/>
        <v>Loss</v>
      </c>
    </row>
    <row r="85" spans="1:13" ht="15.75" thickBot="1" x14ac:dyDescent="0.3">
      <c r="A85" s="17" t="s">
        <v>258</v>
      </c>
      <c r="B85" s="11" t="s">
        <v>136</v>
      </c>
      <c r="C85" s="11" t="s">
        <v>25</v>
      </c>
      <c r="D85" s="25" t="str">
        <f t="shared" si="9"/>
        <v>Item _Unknown_ FUR</v>
      </c>
      <c r="E85" s="27">
        <f t="shared" si="6"/>
        <v>24.5</v>
      </c>
      <c r="F85" s="12">
        <v>2</v>
      </c>
      <c r="G85" s="12">
        <v>49</v>
      </c>
      <c r="H85" s="11" t="s">
        <v>27</v>
      </c>
      <c r="I85" s="11" t="s">
        <v>39</v>
      </c>
      <c r="J85" s="41">
        <v>45119</v>
      </c>
      <c r="K85" s="29" t="b">
        <f t="shared" si="7"/>
        <v>0</v>
      </c>
      <c r="L85" s="29" t="str">
        <f t="shared" si="10"/>
        <v>No Discount</v>
      </c>
      <c r="M85" s="18" t="str">
        <f t="shared" si="8"/>
        <v>Loss</v>
      </c>
    </row>
    <row r="86" spans="1:13" ht="15.75" thickBot="1" x14ac:dyDescent="0.3">
      <c r="A86" s="16" t="s">
        <v>260</v>
      </c>
      <c r="B86" s="5" t="s">
        <v>99</v>
      </c>
      <c r="C86" s="5" t="s">
        <v>13</v>
      </c>
      <c r="D86" s="25" t="str">
        <f t="shared" si="9"/>
        <v>Item _Unknown_ FUR</v>
      </c>
      <c r="E86" s="27">
        <f t="shared" si="6"/>
        <v>9.5</v>
      </c>
      <c r="F86" s="6">
        <v>5</v>
      </c>
      <c r="G86" s="6">
        <v>47.5</v>
      </c>
      <c r="H86" s="5" t="s">
        <v>51</v>
      </c>
      <c r="I86" s="5" t="s">
        <v>16</v>
      </c>
      <c r="J86" s="40">
        <v>45547</v>
      </c>
      <c r="K86" s="29" t="b">
        <f t="shared" si="7"/>
        <v>0</v>
      </c>
      <c r="L86" s="29" t="str">
        <f t="shared" si="10"/>
        <v>No Discount</v>
      </c>
      <c r="M86" s="18" t="str">
        <f t="shared" si="8"/>
        <v>Loss</v>
      </c>
    </row>
    <row r="87" spans="1:13" ht="15.75" thickBot="1" x14ac:dyDescent="0.3">
      <c r="A87" s="17" t="s">
        <v>262</v>
      </c>
      <c r="B87" s="11" t="s">
        <v>117</v>
      </c>
      <c r="C87" s="11" t="s">
        <v>13</v>
      </c>
      <c r="D87" s="25" t="str">
        <f t="shared" si="9"/>
        <v>Item _Unknown_ MIL</v>
      </c>
      <c r="E87" s="27">
        <f t="shared" si="6"/>
        <v>21.5</v>
      </c>
      <c r="F87" s="12">
        <v>9</v>
      </c>
      <c r="G87" s="12">
        <v>193.5</v>
      </c>
      <c r="H87" s="11" t="s">
        <v>51</v>
      </c>
      <c r="I87" s="11" t="s">
        <v>39</v>
      </c>
      <c r="J87" s="41">
        <v>45048</v>
      </c>
      <c r="K87" s="29" t="b">
        <f t="shared" si="7"/>
        <v>0</v>
      </c>
      <c r="L87" s="29" t="str">
        <f t="shared" si="10"/>
        <v>No Discount</v>
      </c>
      <c r="M87" s="18" t="str">
        <f t="shared" si="8"/>
        <v>Loss</v>
      </c>
    </row>
    <row r="88" spans="1:13" ht="15.75" thickBot="1" x14ac:dyDescent="0.3">
      <c r="A88" s="16" t="s">
        <v>263</v>
      </c>
      <c r="B88" s="5" t="s">
        <v>136</v>
      </c>
      <c r="C88" s="5" t="s">
        <v>20</v>
      </c>
      <c r="D88" s="25" t="str">
        <f t="shared" si="9"/>
        <v>Item _Unknown_ FOO</v>
      </c>
      <c r="E88" s="27">
        <f t="shared" si="6"/>
        <v>9.5</v>
      </c>
      <c r="F88" s="6">
        <v>4</v>
      </c>
      <c r="G88" s="6">
        <v>38</v>
      </c>
      <c r="H88" s="5" t="s">
        <v>15</v>
      </c>
      <c r="I88" s="5" t="s">
        <v>16</v>
      </c>
      <c r="J88" s="40">
        <v>45378</v>
      </c>
      <c r="K88" s="29" t="b">
        <f t="shared" si="7"/>
        <v>0</v>
      </c>
      <c r="L88" s="29" t="str">
        <f t="shared" si="10"/>
        <v>No Discount</v>
      </c>
      <c r="M88" s="18" t="str">
        <f t="shared" si="8"/>
        <v>Loss</v>
      </c>
    </row>
    <row r="89" spans="1:13" ht="30.75" thickBot="1" x14ac:dyDescent="0.3">
      <c r="A89" s="17" t="s">
        <v>266</v>
      </c>
      <c r="B89" s="11" t="s">
        <v>99</v>
      </c>
      <c r="C89" s="11" t="s">
        <v>158</v>
      </c>
      <c r="D89" s="25" t="str">
        <f t="shared" si="9"/>
        <v>Item _Unknown_ BEV</v>
      </c>
      <c r="E89" s="27">
        <f t="shared" si="6"/>
        <v>14</v>
      </c>
      <c r="F89" s="12">
        <v>1</v>
      </c>
      <c r="G89" s="12">
        <v>14</v>
      </c>
      <c r="H89" s="11" t="s">
        <v>15</v>
      </c>
      <c r="I89" s="11" t="s">
        <v>16</v>
      </c>
      <c r="J89" s="41">
        <v>44977</v>
      </c>
      <c r="K89" s="29" t="b">
        <f t="shared" si="7"/>
        <v>0</v>
      </c>
      <c r="L89" s="29" t="str">
        <f t="shared" si="10"/>
        <v>No Discount</v>
      </c>
      <c r="M89" s="18" t="str">
        <f t="shared" si="8"/>
        <v>Loss</v>
      </c>
    </row>
    <row r="90" spans="1:13" ht="30.75" thickBot="1" x14ac:dyDescent="0.3">
      <c r="A90" s="16" t="s">
        <v>269</v>
      </c>
      <c r="B90" s="5" t="s">
        <v>106</v>
      </c>
      <c r="C90" s="5" t="s">
        <v>75</v>
      </c>
      <c r="D90" s="25" t="str">
        <f t="shared" si="9"/>
        <v>Item _Unknown_ PAT</v>
      </c>
      <c r="E90" s="27">
        <f t="shared" si="6"/>
        <v>9.5</v>
      </c>
      <c r="F90" s="6">
        <v>8</v>
      </c>
      <c r="G90" s="6">
        <v>76</v>
      </c>
      <c r="H90" s="5" t="s">
        <v>51</v>
      </c>
      <c r="I90" s="5" t="s">
        <v>39</v>
      </c>
      <c r="J90" s="40">
        <v>45471</v>
      </c>
      <c r="K90" s="29" t="b">
        <f t="shared" si="7"/>
        <v>0</v>
      </c>
      <c r="L90" s="29" t="str">
        <f t="shared" si="10"/>
        <v>No Discount</v>
      </c>
      <c r="M90" s="18" t="str">
        <f t="shared" si="8"/>
        <v>Loss</v>
      </c>
    </row>
    <row r="91" spans="1:13" ht="30.75" thickBot="1" x14ac:dyDescent="0.3">
      <c r="A91" s="17" t="s">
        <v>271</v>
      </c>
      <c r="B91" s="11" t="s">
        <v>71</v>
      </c>
      <c r="C91" s="11" t="s">
        <v>75</v>
      </c>
      <c r="D91" s="25" t="str">
        <f t="shared" si="9"/>
        <v>Item _Unknown_ PAT</v>
      </c>
      <c r="E91" s="27">
        <f t="shared" si="6"/>
        <v>12.5</v>
      </c>
      <c r="F91" s="12">
        <v>1</v>
      </c>
      <c r="G91" s="12">
        <v>12.5</v>
      </c>
      <c r="H91" s="11" t="s">
        <v>27</v>
      </c>
      <c r="I91" s="11" t="s">
        <v>39</v>
      </c>
      <c r="J91" s="41">
        <v>45552</v>
      </c>
      <c r="K91" s="29" t="b">
        <f t="shared" si="7"/>
        <v>0</v>
      </c>
      <c r="L91" s="29" t="str">
        <f t="shared" si="10"/>
        <v>No Discount</v>
      </c>
      <c r="M91" s="18" t="str">
        <f t="shared" si="8"/>
        <v>Loss</v>
      </c>
    </row>
    <row r="92" spans="1:13" ht="15.75" thickBot="1" x14ac:dyDescent="0.3">
      <c r="A92" s="16" t="s">
        <v>274</v>
      </c>
      <c r="B92" s="5" t="s">
        <v>78</v>
      </c>
      <c r="C92" s="5" t="s">
        <v>49</v>
      </c>
      <c r="D92" s="25" t="str">
        <f t="shared" si="9"/>
        <v>Item _Unknown_ MIL</v>
      </c>
      <c r="E92" s="27">
        <f t="shared" si="6"/>
        <v>35</v>
      </c>
      <c r="F92" s="6">
        <v>4</v>
      </c>
      <c r="G92" s="6">
        <v>140</v>
      </c>
      <c r="H92" s="5" t="s">
        <v>51</v>
      </c>
      <c r="I92" s="5" t="s">
        <v>39</v>
      </c>
      <c r="J92" s="40">
        <v>45387</v>
      </c>
      <c r="K92" s="29" t="b">
        <f t="shared" si="7"/>
        <v>0</v>
      </c>
      <c r="L92" s="29" t="str">
        <f t="shared" si="10"/>
        <v>No Discount</v>
      </c>
      <c r="M92" s="18" t="str">
        <f t="shared" si="8"/>
        <v>High Profit</v>
      </c>
    </row>
    <row r="93" spans="1:13" ht="15.75" thickBot="1" x14ac:dyDescent="0.3">
      <c r="A93" s="17" t="s">
        <v>276</v>
      </c>
      <c r="B93" s="11" t="s">
        <v>41</v>
      </c>
      <c r="C93" s="11" t="s">
        <v>30</v>
      </c>
      <c r="D93" s="25" t="str">
        <f t="shared" si="9"/>
        <v>Item _Unknown_ COM</v>
      </c>
      <c r="E93" s="27">
        <f t="shared" si="6"/>
        <v>20</v>
      </c>
      <c r="F93" s="12">
        <v>6</v>
      </c>
      <c r="G93" s="12">
        <v>120</v>
      </c>
      <c r="H93" s="11" t="s">
        <v>51</v>
      </c>
      <c r="I93" s="11" t="s">
        <v>16</v>
      </c>
      <c r="J93" s="41">
        <v>44590</v>
      </c>
      <c r="K93" s="29" t="b">
        <f t="shared" si="7"/>
        <v>0</v>
      </c>
      <c r="L93" s="29" t="str">
        <f t="shared" si="10"/>
        <v>No Discount</v>
      </c>
      <c r="M93" s="18" t="str">
        <f t="shared" si="8"/>
        <v>Loss</v>
      </c>
    </row>
    <row r="94" spans="1:13" ht="15.75" thickBot="1" x14ac:dyDescent="0.3">
      <c r="A94" s="16" t="s">
        <v>278</v>
      </c>
      <c r="B94" s="5" t="s">
        <v>48</v>
      </c>
      <c r="C94" s="5" t="s">
        <v>30</v>
      </c>
      <c r="D94" s="25" t="str">
        <f t="shared" si="9"/>
        <v>Item _Unknown_ ELE</v>
      </c>
      <c r="E94" s="27">
        <f t="shared" si="6"/>
        <v>30.5</v>
      </c>
      <c r="F94" s="6">
        <v>6</v>
      </c>
      <c r="G94" s="6">
        <v>183</v>
      </c>
      <c r="H94" s="5" t="s">
        <v>27</v>
      </c>
      <c r="I94" s="5" t="s">
        <v>39</v>
      </c>
      <c r="J94" s="40">
        <v>45163</v>
      </c>
      <c r="K94" s="29" t="b">
        <f t="shared" si="7"/>
        <v>0</v>
      </c>
      <c r="L94" s="29" t="str">
        <f t="shared" si="10"/>
        <v>No Discount</v>
      </c>
      <c r="M94" s="18" t="str">
        <f t="shared" si="8"/>
        <v>Medium</v>
      </c>
    </row>
    <row r="95" spans="1:13" ht="15.75" thickBot="1" x14ac:dyDescent="0.3">
      <c r="A95" s="17" t="s">
        <v>280</v>
      </c>
      <c r="B95" s="11" t="s">
        <v>37</v>
      </c>
      <c r="C95" s="11" t="s">
        <v>30</v>
      </c>
      <c r="D95" s="25" t="str">
        <f t="shared" si="9"/>
        <v>Item _Unknown_ ELE</v>
      </c>
      <c r="E95" s="27">
        <f t="shared" si="6"/>
        <v>33.5</v>
      </c>
      <c r="F95" s="12">
        <v>10</v>
      </c>
      <c r="G95" s="12">
        <v>335</v>
      </c>
      <c r="H95" s="11" t="s">
        <v>51</v>
      </c>
      <c r="I95" s="11" t="s">
        <v>16</v>
      </c>
      <c r="J95" s="41">
        <v>45481</v>
      </c>
      <c r="K95" s="29" t="b">
        <f t="shared" si="7"/>
        <v>0</v>
      </c>
      <c r="L95" s="29" t="str">
        <f t="shared" si="10"/>
        <v>No Discount</v>
      </c>
      <c r="M95" s="18" t="str">
        <f t="shared" si="8"/>
        <v>Medium</v>
      </c>
    </row>
    <row r="96" spans="1:13" ht="15.75" thickBot="1" x14ac:dyDescent="0.3">
      <c r="A96" s="16" t="s">
        <v>281</v>
      </c>
      <c r="B96" s="5" t="s">
        <v>78</v>
      </c>
      <c r="C96" s="5" t="s">
        <v>13</v>
      </c>
      <c r="D96" s="25" t="str">
        <f t="shared" si="9"/>
        <v>Item _Unknown_ BUT</v>
      </c>
      <c r="E96" s="27">
        <f t="shared" si="6"/>
        <v>27.5</v>
      </c>
      <c r="F96" s="6">
        <v>6</v>
      </c>
      <c r="G96" s="6">
        <v>165</v>
      </c>
      <c r="H96" s="5" t="s">
        <v>51</v>
      </c>
      <c r="I96" s="5" t="s">
        <v>39</v>
      </c>
      <c r="J96" s="40">
        <v>45237</v>
      </c>
      <c r="K96" s="29" t="b">
        <f t="shared" si="7"/>
        <v>0</v>
      </c>
      <c r="L96" s="29" t="str">
        <f t="shared" si="10"/>
        <v>No Discount</v>
      </c>
      <c r="M96" s="18" t="str">
        <f t="shared" si="8"/>
        <v>Medium</v>
      </c>
    </row>
    <row r="97" spans="1:13" ht="15.75" thickBot="1" x14ac:dyDescent="0.3">
      <c r="A97" s="17" t="s">
        <v>283</v>
      </c>
      <c r="B97" s="11" t="s">
        <v>90</v>
      </c>
      <c r="C97" s="11" t="s">
        <v>30</v>
      </c>
      <c r="D97" s="25" t="str">
        <f t="shared" si="9"/>
        <v>Item _Unknown_ FOO</v>
      </c>
      <c r="E97" s="27">
        <f t="shared" si="6"/>
        <v>30.5</v>
      </c>
      <c r="F97" s="12">
        <v>10</v>
      </c>
      <c r="G97" s="12">
        <v>305</v>
      </c>
      <c r="H97" s="11" t="s">
        <v>51</v>
      </c>
      <c r="I97" s="11" t="s">
        <v>16</v>
      </c>
      <c r="J97" s="41">
        <v>45247</v>
      </c>
      <c r="K97" s="29" t="b">
        <f t="shared" si="7"/>
        <v>0</v>
      </c>
      <c r="L97" s="29" t="str">
        <f t="shared" si="10"/>
        <v>No Discount</v>
      </c>
      <c r="M97" s="18" t="str">
        <f t="shared" si="8"/>
        <v>Medium</v>
      </c>
    </row>
    <row r="98" spans="1:13" ht="30.75" thickBot="1" x14ac:dyDescent="0.3">
      <c r="A98" s="16" t="s">
        <v>285</v>
      </c>
      <c r="B98" s="5" t="s">
        <v>24</v>
      </c>
      <c r="C98" s="5" t="s">
        <v>158</v>
      </c>
      <c r="D98" s="25" t="str">
        <f t="shared" si="9"/>
        <v>Item _Unknown_ FOO</v>
      </c>
      <c r="E98" s="27">
        <f t="shared" si="6"/>
        <v>41</v>
      </c>
      <c r="F98" s="6">
        <v>1</v>
      </c>
      <c r="G98" s="6">
        <v>41</v>
      </c>
      <c r="H98" s="5" t="s">
        <v>51</v>
      </c>
      <c r="I98" s="5" t="s">
        <v>39</v>
      </c>
      <c r="J98" s="40">
        <v>45601</v>
      </c>
      <c r="K98" s="29" t="b">
        <f t="shared" si="7"/>
        <v>0</v>
      </c>
      <c r="L98" s="29" t="str">
        <f t="shared" si="10"/>
        <v>No Discount</v>
      </c>
      <c r="M98" s="18" t="str">
        <f t="shared" si="8"/>
        <v>High Profit</v>
      </c>
    </row>
    <row r="99" spans="1:13" ht="15.75" thickBot="1" x14ac:dyDescent="0.3">
      <c r="A99" s="17" t="s">
        <v>287</v>
      </c>
      <c r="B99" s="11" t="s">
        <v>12</v>
      </c>
      <c r="C99" s="11" t="s">
        <v>49</v>
      </c>
      <c r="D99" s="25" t="str">
        <f t="shared" si="9"/>
        <v>Item _Unknown_ FOO</v>
      </c>
      <c r="E99" s="27">
        <f t="shared" si="6"/>
        <v>15.5</v>
      </c>
      <c r="F99" s="12">
        <v>10</v>
      </c>
      <c r="G99" s="12">
        <v>155</v>
      </c>
      <c r="H99" s="11" t="s">
        <v>15</v>
      </c>
      <c r="I99" s="11" t="s">
        <v>39</v>
      </c>
      <c r="J99" s="41">
        <v>45022</v>
      </c>
      <c r="K99" s="29" t="b">
        <f t="shared" si="7"/>
        <v>0</v>
      </c>
      <c r="L99" s="29" t="str">
        <f t="shared" si="10"/>
        <v>No Discount</v>
      </c>
      <c r="M99" s="18" t="str">
        <f t="shared" si="8"/>
        <v>Loss</v>
      </c>
    </row>
    <row r="100" spans="1:13" ht="30.75" thickBot="1" x14ac:dyDescent="0.3">
      <c r="A100" s="16" t="s">
        <v>289</v>
      </c>
      <c r="B100" s="5" t="s">
        <v>74</v>
      </c>
      <c r="C100" s="5" t="s">
        <v>158</v>
      </c>
      <c r="D100" s="25" t="str">
        <f t="shared" si="9"/>
        <v>Item _Unknown_ PAT</v>
      </c>
      <c r="E100" s="27">
        <f t="shared" si="6"/>
        <v>18.5</v>
      </c>
      <c r="F100" s="6">
        <v>5</v>
      </c>
      <c r="G100" s="6">
        <v>92.5</v>
      </c>
      <c r="H100" s="5" t="s">
        <v>51</v>
      </c>
      <c r="I100" s="5" t="s">
        <v>16</v>
      </c>
      <c r="J100" s="40">
        <v>44708</v>
      </c>
      <c r="K100" s="29" t="b">
        <f t="shared" si="7"/>
        <v>0</v>
      </c>
      <c r="L100" s="29" t="str">
        <f t="shared" si="10"/>
        <v>No Discount</v>
      </c>
      <c r="M100" s="18" t="str">
        <f t="shared" si="8"/>
        <v>Loss</v>
      </c>
    </row>
    <row r="101" spans="1:13" ht="15.75" thickBot="1" x14ac:dyDescent="0.3">
      <c r="A101" s="17" t="s">
        <v>292</v>
      </c>
      <c r="B101" s="11" t="s">
        <v>60</v>
      </c>
      <c r="C101" s="11" t="s">
        <v>49</v>
      </c>
      <c r="D101" s="25" t="str">
        <f t="shared" si="9"/>
        <v>Item _Unknown_ FOO</v>
      </c>
      <c r="E101" s="27">
        <f t="shared" si="6"/>
        <v>6.5</v>
      </c>
      <c r="F101" s="12">
        <v>3</v>
      </c>
      <c r="G101" s="12">
        <v>19.5</v>
      </c>
      <c r="H101" s="11" t="s">
        <v>15</v>
      </c>
      <c r="I101" s="11" t="s">
        <v>39</v>
      </c>
      <c r="J101" s="41">
        <v>44797</v>
      </c>
      <c r="K101" s="29" t="b">
        <f t="shared" si="7"/>
        <v>0</v>
      </c>
      <c r="L101" s="29" t="str">
        <f t="shared" si="10"/>
        <v>No Discount</v>
      </c>
      <c r="M101" s="18" t="str">
        <f t="shared" si="8"/>
        <v>Loss</v>
      </c>
    </row>
    <row r="102" spans="1:13" ht="15.75" thickBot="1" x14ac:dyDescent="0.3">
      <c r="A102" s="16" t="s">
        <v>294</v>
      </c>
      <c r="B102" s="5" t="s">
        <v>78</v>
      </c>
      <c r="C102" s="5" t="s">
        <v>42</v>
      </c>
      <c r="D102" s="25" t="str">
        <f t="shared" si="9"/>
        <v>Item _Unknown_ COM</v>
      </c>
      <c r="E102" s="27">
        <f t="shared" si="6"/>
        <v>41</v>
      </c>
      <c r="F102" s="6">
        <v>7</v>
      </c>
      <c r="G102" s="6">
        <v>287</v>
      </c>
      <c r="H102" s="5" t="s">
        <v>15</v>
      </c>
      <c r="I102" s="5" t="s">
        <v>39</v>
      </c>
      <c r="J102" s="40">
        <v>44622</v>
      </c>
      <c r="K102" s="29" t="b">
        <f t="shared" si="7"/>
        <v>0</v>
      </c>
      <c r="L102" s="29" t="str">
        <f t="shared" si="10"/>
        <v>No Discount</v>
      </c>
      <c r="M102" s="18" t="str">
        <f t="shared" si="8"/>
        <v>High Profit</v>
      </c>
    </row>
    <row r="103" spans="1:13" ht="15.75" thickBot="1" x14ac:dyDescent="0.3">
      <c r="A103" s="17" t="s">
        <v>295</v>
      </c>
      <c r="B103" s="11" t="s">
        <v>48</v>
      </c>
      <c r="C103" s="11" t="s">
        <v>42</v>
      </c>
      <c r="D103" s="25" t="str">
        <f t="shared" si="9"/>
        <v>Item _Unknown_ BUT</v>
      </c>
      <c r="E103" s="27">
        <f t="shared" si="6"/>
        <v>11</v>
      </c>
      <c r="F103" s="12">
        <v>3</v>
      </c>
      <c r="G103" s="12">
        <v>33</v>
      </c>
      <c r="H103" s="11" t="s">
        <v>27</v>
      </c>
      <c r="I103" s="11" t="s">
        <v>39</v>
      </c>
      <c r="J103" s="41">
        <v>44597</v>
      </c>
      <c r="K103" s="29" t="b">
        <f t="shared" si="7"/>
        <v>0</v>
      </c>
      <c r="L103" s="29" t="str">
        <f t="shared" si="10"/>
        <v>No Discount</v>
      </c>
      <c r="M103" s="18" t="str">
        <f t="shared" si="8"/>
        <v>Loss</v>
      </c>
    </row>
    <row r="104" spans="1:13" ht="15.75" thickBot="1" x14ac:dyDescent="0.3">
      <c r="A104" s="16" t="s">
        <v>297</v>
      </c>
      <c r="B104" s="5" t="s">
        <v>24</v>
      </c>
      <c r="C104" s="5" t="s">
        <v>49</v>
      </c>
      <c r="D104" s="25" t="str">
        <f t="shared" si="9"/>
        <v>Item _Unknown_ COM</v>
      </c>
      <c r="E104" s="27">
        <f t="shared" si="6"/>
        <v>15.5</v>
      </c>
      <c r="F104" s="6">
        <v>7</v>
      </c>
      <c r="G104" s="6">
        <v>108.5</v>
      </c>
      <c r="H104" s="5" t="s">
        <v>27</v>
      </c>
      <c r="I104" s="5" t="s">
        <v>39</v>
      </c>
      <c r="J104" s="40">
        <v>45412</v>
      </c>
      <c r="K104" s="29" t="b">
        <f t="shared" si="7"/>
        <v>0</v>
      </c>
      <c r="L104" s="29" t="str">
        <f t="shared" si="10"/>
        <v>No Discount</v>
      </c>
      <c r="M104" s="18" t="str">
        <f t="shared" si="8"/>
        <v>Loss</v>
      </c>
    </row>
    <row r="105" spans="1:13" ht="15.75" thickBot="1" x14ac:dyDescent="0.3">
      <c r="A105" s="17" t="s">
        <v>299</v>
      </c>
      <c r="B105" s="11" t="s">
        <v>90</v>
      </c>
      <c r="C105" s="11" t="s">
        <v>30</v>
      </c>
      <c r="D105" s="25" t="str">
        <f t="shared" si="9"/>
        <v>Item _Unknown_ BUT</v>
      </c>
      <c r="E105" s="27">
        <f t="shared" si="6"/>
        <v>36.5</v>
      </c>
      <c r="F105" s="12">
        <v>3</v>
      </c>
      <c r="G105" s="12">
        <v>109.5</v>
      </c>
      <c r="H105" s="11" t="s">
        <v>27</v>
      </c>
      <c r="I105" s="11" t="s">
        <v>16</v>
      </c>
      <c r="J105" s="41">
        <v>45230</v>
      </c>
      <c r="K105" s="29" t="b">
        <f t="shared" si="7"/>
        <v>0</v>
      </c>
      <c r="L105" s="29" t="str">
        <f t="shared" si="10"/>
        <v>No Discount</v>
      </c>
      <c r="M105" s="18" t="str">
        <f t="shared" si="8"/>
        <v>High Profit</v>
      </c>
    </row>
    <row r="106" spans="1:13" ht="15.75" thickBot="1" x14ac:dyDescent="0.3">
      <c r="A106" s="16" t="s">
        <v>301</v>
      </c>
      <c r="B106" s="5" t="s">
        <v>106</v>
      </c>
      <c r="C106" s="5" t="s">
        <v>30</v>
      </c>
      <c r="D106" s="25" t="str">
        <f t="shared" si="9"/>
        <v>Item _Unknown_ FUR</v>
      </c>
      <c r="E106" s="27">
        <f t="shared" si="6"/>
        <v>17</v>
      </c>
      <c r="F106" s="6">
        <v>7</v>
      </c>
      <c r="G106" s="6">
        <v>119</v>
      </c>
      <c r="H106" s="5" t="s">
        <v>51</v>
      </c>
      <c r="I106" s="5" t="s">
        <v>39</v>
      </c>
      <c r="J106" s="40">
        <v>45599</v>
      </c>
      <c r="K106" s="29" t="b">
        <f t="shared" si="7"/>
        <v>0</v>
      </c>
      <c r="L106" s="29" t="str">
        <f t="shared" si="10"/>
        <v>No Discount</v>
      </c>
      <c r="M106" s="18" t="str">
        <f t="shared" si="8"/>
        <v>Loss</v>
      </c>
    </row>
    <row r="107" spans="1:13" ht="30.75" thickBot="1" x14ac:dyDescent="0.3">
      <c r="A107" s="16" t="s">
        <v>305</v>
      </c>
      <c r="B107" s="5" t="s">
        <v>130</v>
      </c>
      <c r="C107" s="5" t="s">
        <v>158</v>
      </c>
      <c r="D107" s="25" t="str">
        <f>"Item _Unknown_ "&amp;UPPER(LEFT(C104,3))</f>
        <v>Item _Unknown_ BUT</v>
      </c>
      <c r="E107" s="27">
        <f t="shared" si="6"/>
        <v>35</v>
      </c>
      <c r="F107" s="6">
        <v>8</v>
      </c>
      <c r="G107" s="6">
        <v>280</v>
      </c>
      <c r="H107" s="5" t="s">
        <v>15</v>
      </c>
      <c r="I107" s="5" t="s">
        <v>16</v>
      </c>
      <c r="J107" s="40">
        <v>44781</v>
      </c>
      <c r="K107" s="29" t="b">
        <f t="shared" si="7"/>
        <v>0</v>
      </c>
      <c r="L107" s="29" t="str">
        <f t="shared" si="10"/>
        <v>No Discount</v>
      </c>
      <c r="M107" s="18" t="str">
        <f t="shared" si="8"/>
        <v>High Profit</v>
      </c>
    </row>
    <row r="108" spans="1:13" ht="30.75" thickBot="1" x14ac:dyDescent="0.3">
      <c r="A108" s="16" t="s">
        <v>308</v>
      </c>
      <c r="B108" s="5" t="s">
        <v>48</v>
      </c>
      <c r="C108" s="5" t="s">
        <v>158</v>
      </c>
      <c r="D108" s="25" t="str">
        <f>"Item _Unknown_ "&amp;UPPER(LEFT(C106,3))</f>
        <v>Item _Unknown_ FOO</v>
      </c>
      <c r="E108" s="27">
        <f t="shared" si="6"/>
        <v>15.5</v>
      </c>
      <c r="F108" s="6">
        <v>10</v>
      </c>
      <c r="G108" s="6">
        <v>155</v>
      </c>
      <c r="H108" s="5" t="s">
        <v>51</v>
      </c>
      <c r="I108" s="5" t="s">
        <v>39</v>
      </c>
      <c r="J108" s="40">
        <v>45129</v>
      </c>
      <c r="K108" s="29" t="b">
        <f t="shared" si="7"/>
        <v>0</v>
      </c>
      <c r="L108" s="29" t="str">
        <f t="shared" si="10"/>
        <v>No Discount</v>
      </c>
      <c r="M108" s="18" t="str">
        <f t="shared" si="8"/>
        <v>Loss</v>
      </c>
    </row>
    <row r="109" spans="1:13" ht="30.75" thickBot="1" x14ac:dyDescent="0.3">
      <c r="A109" s="17" t="s">
        <v>311</v>
      </c>
      <c r="B109" s="11" t="s">
        <v>37</v>
      </c>
      <c r="C109" s="11" t="s">
        <v>158</v>
      </c>
      <c r="D109" s="25" t="str">
        <f>"Item _Unknown_ "&amp;UPPER(LEFT(C100,3))</f>
        <v>Item _Unknown_ COM</v>
      </c>
      <c r="E109" s="27">
        <f t="shared" si="6"/>
        <v>41</v>
      </c>
      <c r="F109" s="12">
        <v>7</v>
      </c>
      <c r="G109" s="12">
        <v>287</v>
      </c>
      <c r="H109" s="11" t="s">
        <v>51</v>
      </c>
      <c r="I109" s="11" t="s">
        <v>16</v>
      </c>
      <c r="J109" s="41">
        <v>44625</v>
      </c>
      <c r="K109" s="29" t="b">
        <f t="shared" si="7"/>
        <v>0</v>
      </c>
      <c r="L109" s="29" t="str">
        <f t="shared" si="10"/>
        <v>No Discount</v>
      </c>
      <c r="M109" s="18" t="str">
        <f t="shared" si="8"/>
        <v>High Profit</v>
      </c>
    </row>
    <row r="110" spans="1:13" ht="30.75" thickBot="1" x14ac:dyDescent="0.3">
      <c r="A110" s="16" t="s">
        <v>312</v>
      </c>
      <c r="B110" s="5" t="s">
        <v>48</v>
      </c>
      <c r="C110" s="5" t="s">
        <v>75</v>
      </c>
      <c r="D110" s="25" t="str">
        <f>"Item _Unknown_ "&amp;UPPER(LEFT(C107,3))</f>
        <v>Item _Unknown_ COM</v>
      </c>
      <c r="E110" s="27">
        <f t="shared" si="6"/>
        <v>15.5</v>
      </c>
      <c r="F110" s="6">
        <v>4</v>
      </c>
      <c r="G110" s="6">
        <v>62</v>
      </c>
      <c r="H110" s="5" t="s">
        <v>15</v>
      </c>
      <c r="I110" s="5" t="s">
        <v>39</v>
      </c>
      <c r="J110" s="40">
        <v>45304</v>
      </c>
      <c r="K110" s="29" t="b">
        <f t="shared" si="7"/>
        <v>0</v>
      </c>
      <c r="L110" s="29" t="str">
        <f t="shared" si="10"/>
        <v>No Discount</v>
      </c>
      <c r="M110" s="18" t="str">
        <f t="shared" si="8"/>
        <v>Loss</v>
      </c>
    </row>
    <row r="111" spans="1:13" ht="15.75" thickBot="1" x14ac:dyDescent="0.3">
      <c r="A111" s="16" t="s">
        <v>316</v>
      </c>
      <c r="B111" s="5" t="s">
        <v>12</v>
      </c>
      <c r="C111" s="5" t="s">
        <v>30</v>
      </c>
      <c r="D111" s="25" t="str">
        <f>"Item _Unknown_ "&amp;UPPER(LEFT(C108,3))</f>
        <v>Item _Unknown_ COM</v>
      </c>
      <c r="E111" s="27">
        <f t="shared" si="6"/>
        <v>8</v>
      </c>
      <c r="F111" s="6">
        <v>4</v>
      </c>
      <c r="G111" s="6">
        <v>32</v>
      </c>
      <c r="H111" s="5" t="s">
        <v>27</v>
      </c>
      <c r="I111" s="5" t="s">
        <v>39</v>
      </c>
      <c r="J111" s="40">
        <v>44924</v>
      </c>
      <c r="K111" s="29" t="b">
        <f t="shared" si="7"/>
        <v>0</v>
      </c>
      <c r="L111" s="29" t="str">
        <f t="shared" si="10"/>
        <v>No Discount</v>
      </c>
      <c r="M111" s="18" t="str">
        <f t="shared" si="8"/>
        <v>Loss</v>
      </c>
    </row>
    <row r="112" spans="1:13" ht="15.75" thickBot="1" x14ac:dyDescent="0.3">
      <c r="A112" s="17" t="s">
        <v>318</v>
      </c>
      <c r="B112" s="11" t="s">
        <v>74</v>
      </c>
      <c r="C112" s="11" t="s">
        <v>20</v>
      </c>
      <c r="D112" s="25" t="str">
        <f>"Item _Unknown_ "&amp;UPPER(LEFT(C109,3))</f>
        <v>Item _Unknown_ COM</v>
      </c>
      <c r="E112" s="27">
        <f t="shared" si="6"/>
        <v>38</v>
      </c>
      <c r="F112" s="12">
        <v>10</v>
      </c>
      <c r="G112" s="12">
        <v>380</v>
      </c>
      <c r="H112" s="11" t="s">
        <v>15</v>
      </c>
      <c r="I112" s="11" t="s">
        <v>39</v>
      </c>
      <c r="J112" s="41">
        <v>45367</v>
      </c>
      <c r="K112" s="29" t="b">
        <f t="shared" si="7"/>
        <v>0</v>
      </c>
      <c r="L112" s="29" t="str">
        <f t="shared" si="10"/>
        <v>No Discount</v>
      </c>
      <c r="M112" s="18" t="str">
        <f t="shared" si="8"/>
        <v>High Profit</v>
      </c>
    </row>
    <row r="113" spans="1:13" ht="15.75" thickBot="1" x14ac:dyDescent="0.3">
      <c r="A113" s="16" t="s">
        <v>321</v>
      </c>
      <c r="B113" s="5" t="s">
        <v>48</v>
      </c>
      <c r="C113" s="5" t="s">
        <v>25</v>
      </c>
      <c r="D113" s="25" t="str">
        <f>"Item _Unknown_ "&amp;UPPER(LEFT(C110,3))</f>
        <v>Item _Unknown_ ELE</v>
      </c>
      <c r="E113" s="27">
        <f t="shared" si="6"/>
        <v>38</v>
      </c>
      <c r="F113" s="6">
        <v>8</v>
      </c>
      <c r="G113" s="6">
        <v>304</v>
      </c>
      <c r="H113" s="5" t="s">
        <v>51</v>
      </c>
      <c r="I113" s="5" t="s">
        <v>16</v>
      </c>
      <c r="J113" s="40">
        <v>45562</v>
      </c>
      <c r="K113" s="29" t="b">
        <f t="shared" si="7"/>
        <v>0</v>
      </c>
      <c r="L113" s="29" t="str">
        <f t="shared" si="10"/>
        <v>No Discount</v>
      </c>
      <c r="M113" s="18" t="str">
        <f t="shared" si="8"/>
        <v>High Profit</v>
      </c>
    </row>
    <row r="114" spans="1:13" ht="15.75" thickBot="1" x14ac:dyDescent="0.3">
      <c r="A114" s="17" t="s">
        <v>324</v>
      </c>
      <c r="B114" s="11" t="s">
        <v>99</v>
      </c>
      <c r="C114" s="11" t="s">
        <v>49</v>
      </c>
      <c r="D114" s="25" t="str">
        <f>"Item _Unknown_ "&amp;UPPER(LEFT(C105,3))</f>
        <v>Item _Unknown_ FOO</v>
      </c>
      <c r="E114" s="27">
        <f t="shared" si="6"/>
        <v>15.5</v>
      </c>
      <c r="F114" s="12">
        <v>9</v>
      </c>
      <c r="G114" s="12">
        <v>139.5</v>
      </c>
      <c r="H114" s="11" t="s">
        <v>27</v>
      </c>
      <c r="I114" s="11" t="s">
        <v>39</v>
      </c>
      <c r="J114" s="41">
        <v>45422</v>
      </c>
      <c r="K114" s="29" t="b">
        <f t="shared" si="7"/>
        <v>0</v>
      </c>
      <c r="L114" s="29" t="str">
        <f t="shared" si="10"/>
        <v>No Discount</v>
      </c>
      <c r="M114" s="18" t="str">
        <f t="shared" si="8"/>
        <v>Loss</v>
      </c>
    </row>
    <row r="115" spans="1:13" ht="15.75" thickBot="1" x14ac:dyDescent="0.3">
      <c r="A115" s="16" t="s">
        <v>325</v>
      </c>
      <c r="B115" s="5" t="s">
        <v>71</v>
      </c>
      <c r="C115" s="5" t="s">
        <v>42</v>
      </c>
      <c r="D115" s="25" t="str">
        <f t="shared" si="9"/>
        <v>Item _Unknown_ FOO</v>
      </c>
      <c r="E115" s="27">
        <f t="shared" si="6"/>
        <v>38</v>
      </c>
      <c r="F115" s="6">
        <v>3</v>
      </c>
      <c r="G115" s="6">
        <v>114</v>
      </c>
      <c r="H115" s="5" t="s">
        <v>15</v>
      </c>
      <c r="I115" s="5" t="s">
        <v>16</v>
      </c>
      <c r="J115" s="40">
        <v>44780</v>
      </c>
      <c r="K115" s="29" t="b">
        <f t="shared" si="7"/>
        <v>0</v>
      </c>
      <c r="L115" s="29" t="str">
        <f t="shared" si="10"/>
        <v>No Discount</v>
      </c>
      <c r="M115" s="18" t="str">
        <f t="shared" si="8"/>
        <v>High Profit</v>
      </c>
    </row>
    <row r="116" spans="1:13" ht="15.75" thickBot="1" x14ac:dyDescent="0.3">
      <c r="A116" s="17" t="s">
        <v>326</v>
      </c>
      <c r="B116" s="11" t="s">
        <v>48</v>
      </c>
      <c r="C116" s="11" t="s">
        <v>25</v>
      </c>
      <c r="D116" s="25" t="str">
        <f t="shared" si="9"/>
        <v>Item _Unknown_ MIL</v>
      </c>
      <c r="E116" s="27">
        <f t="shared" si="6"/>
        <v>32</v>
      </c>
      <c r="F116" s="12">
        <v>6</v>
      </c>
      <c r="G116" s="12">
        <v>192</v>
      </c>
      <c r="H116" s="11" t="s">
        <v>27</v>
      </c>
      <c r="I116" s="11" t="s">
        <v>39</v>
      </c>
      <c r="J116" s="41">
        <v>44580</v>
      </c>
      <c r="K116" s="29" t="b">
        <f t="shared" si="7"/>
        <v>0</v>
      </c>
      <c r="L116" s="29" t="str">
        <f t="shared" si="10"/>
        <v>No Discount</v>
      </c>
      <c r="M116" s="18" t="str">
        <f t="shared" si="8"/>
        <v>Medium</v>
      </c>
    </row>
    <row r="117" spans="1:13" ht="15.75" thickBot="1" x14ac:dyDescent="0.3">
      <c r="A117" s="16" t="s">
        <v>329</v>
      </c>
      <c r="B117" s="5" t="s">
        <v>94</v>
      </c>
      <c r="C117" s="5" t="s">
        <v>25</v>
      </c>
      <c r="D117" s="25" t="str">
        <f t="shared" si="9"/>
        <v>Item _Unknown_ BEV</v>
      </c>
      <c r="E117" s="27">
        <f t="shared" si="6"/>
        <v>33.5</v>
      </c>
      <c r="F117" s="6">
        <v>5</v>
      </c>
      <c r="G117" s="6">
        <v>167.5</v>
      </c>
      <c r="H117" s="5" t="s">
        <v>51</v>
      </c>
      <c r="I117" s="5" t="s">
        <v>16</v>
      </c>
      <c r="J117" s="40">
        <v>45513</v>
      </c>
      <c r="K117" s="29" t="b">
        <f t="shared" si="7"/>
        <v>0</v>
      </c>
      <c r="L117" s="29" t="str">
        <f t="shared" si="10"/>
        <v>No Discount</v>
      </c>
      <c r="M117" s="18" t="str">
        <f t="shared" si="8"/>
        <v>Medium</v>
      </c>
    </row>
    <row r="118" spans="1:13" ht="15.75" thickBot="1" x14ac:dyDescent="0.3">
      <c r="A118" s="17" t="s">
        <v>331</v>
      </c>
      <c r="B118" s="11" t="s">
        <v>94</v>
      </c>
      <c r="C118" s="11" t="s">
        <v>13</v>
      </c>
      <c r="D118" s="25" t="str">
        <f t="shared" si="9"/>
        <v>Item _Unknown_ BUT</v>
      </c>
      <c r="E118" s="27">
        <f t="shared" si="6"/>
        <v>18.5</v>
      </c>
      <c r="F118" s="12">
        <v>5</v>
      </c>
      <c r="G118" s="12">
        <v>92.5</v>
      </c>
      <c r="H118" s="11" t="s">
        <v>51</v>
      </c>
      <c r="I118" s="11" t="s">
        <v>39</v>
      </c>
      <c r="J118" s="41">
        <v>45428</v>
      </c>
      <c r="K118" s="29" t="b">
        <f t="shared" si="7"/>
        <v>0</v>
      </c>
      <c r="L118" s="29" t="str">
        <f t="shared" si="10"/>
        <v>No Discount</v>
      </c>
      <c r="M118" s="18" t="str">
        <f t="shared" si="8"/>
        <v>Loss</v>
      </c>
    </row>
    <row r="119" spans="1:13" ht="15.75" thickBot="1" x14ac:dyDescent="0.3">
      <c r="A119" s="16" t="s">
        <v>333</v>
      </c>
      <c r="B119" s="5" t="s">
        <v>41</v>
      </c>
      <c r="C119" s="5" t="s">
        <v>49</v>
      </c>
      <c r="D119" s="25" t="str">
        <f t="shared" si="9"/>
        <v>Item _Unknown_ FUR</v>
      </c>
      <c r="E119" s="27">
        <f t="shared" si="6"/>
        <v>27.5</v>
      </c>
      <c r="F119" s="6">
        <v>10</v>
      </c>
      <c r="G119" s="6">
        <v>275</v>
      </c>
      <c r="H119" s="5" t="s">
        <v>15</v>
      </c>
      <c r="I119" s="5" t="s">
        <v>16</v>
      </c>
      <c r="J119" s="40">
        <v>44835</v>
      </c>
      <c r="K119" s="29" t="b">
        <f t="shared" si="7"/>
        <v>0</v>
      </c>
      <c r="L119" s="29" t="str">
        <f t="shared" si="10"/>
        <v>No Discount</v>
      </c>
      <c r="M119" s="18" t="str">
        <f t="shared" si="8"/>
        <v>Medium</v>
      </c>
    </row>
    <row r="120" spans="1:13" ht="15.75" thickBot="1" x14ac:dyDescent="0.3">
      <c r="A120" s="17" t="s">
        <v>334</v>
      </c>
      <c r="B120" s="11" t="s">
        <v>74</v>
      </c>
      <c r="C120" s="11" t="s">
        <v>42</v>
      </c>
      <c r="D120" s="25" t="str">
        <f t="shared" si="9"/>
        <v>Item _Unknown_ BEV</v>
      </c>
      <c r="E120" s="27">
        <f t="shared" si="6"/>
        <v>11</v>
      </c>
      <c r="F120" s="12">
        <v>8</v>
      </c>
      <c r="G120" s="12">
        <v>88</v>
      </c>
      <c r="H120" s="11" t="s">
        <v>15</v>
      </c>
      <c r="I120" s="11" t="s">
        <v>16</v>
      </c>
      <c r="J120" s="41">
        <v>44740</v>
      </c>
      <c r="K120" s="29" t="b">
        <f t="shared" si="7"/>
        <v>0</v>
      </c>
      <c r="L120" s="29" t="str">
        <f t="shared" si="10"/>
        <v>No Discount</v>
      </c>
      <c r="M120" s="18" t="str">
        <f t="shared" si="8"/>
        <v>Loss</v>
      </c>
    </row>
    <row r="121" spans="1:13" ht="15.75" thickBot="1" x14ac:dyDescent="0.3">
      <c r="A121" s="16" t="s">
        <v>336</v>
      </c>
      <c r="B121" s="5" t="s">
        <v>136</v>
      </c>
      <c r="C121" s="5" t="s">
        <v>30</v>
      </c>
      <c r="D121" s="25" t="str">
        <f t="shared" si="9"/>
        <v>Item _Unknown_ BEV</v>
      </c>
      <c r="E121" s="27">
        <f t="shared" si="6"/>
        <v>39.5</v>
      </c>
      <c r="F121" s="6">
        <v>10</v>
      </c>
      <c r="G121" s="6">
        <v>395</v>
      </c>
      <c r="H121" s="5" t="s">
        <v>51</v>
      </c>
      <c r="I121" s="5" t="s">
        <v>16</v>
      </c>
      <c r="J121" s="40">
        <v>45193</v>
      </c>
      <c r="K121" s="29" t="b">
        <f t="shared" si="7"/>
        <v>0</v>
      </c>
      <c r="L121" s="29" t="str">
        <f t="shared" si="10"/>
        <v>No Discount</v>
      </c>
      <c r="M121" s="18" t="str">
        <f t="shared" si="8"/>
        <v>High Profit</v>
      </c>
    </row>
    <row r="122" spans="1:13" ht="15.75" thickBot="1" x14ac:dyDescent="0.3">
      <c r="A122" s="17" t="s">
        <v>339</v>
      </c>
      <c r="B122" s="11" t="s">
        <v>130</v>
      </c>
      <c r="C122" s="11" t="s">
        <v>20</v>
      </c>
      <c r="D122" s="25" t="str">
        <f t="shared" si="9"/>
        <v>Item _Unknown_ PAT</v>
      </c>
      <c r="E122" s="27">
        <f t="shared" si="6"/>
        <v>35</v>
      </c>
      <c r="F122" s="12">
        <v>2</v>
      </c>
      <c r="G122" s="12">
        <v>70</v>
      </c>
      <c r="H122" s="11" t="s">
        <v>27</v>
      </c>
      <c r="I122" s="11" t="s">
        <v>39</v>
      </c>
      <c r="J122" s="41">
        <v>44578</v>
      </c>
      <c r="K122" s="29" t="b">
        <f t="shared" si="7"/>
        <v>0</v>
      </c>
      <c r="L122" s="29" t="str">
        <f t="shared" si="10"/>
        <v>No Discount</v>
      </c>
      <c r="M122" s="18" t="str">
        <f t="shared" si="8"/>
        <v>High Profit</v>
      </c>
    </row>
    <row r="123" spans="1:13" ht="15.75" thickBot="1" x14ac:dyDescent="0.3">
      <c r="A123" s="16" t="s">
        <v>342</v>
      </c>
      <c r="B123" s="5" t="s">
        <v>120</v>
      </c>
      <c r="C123" s="5" t="s">
        <v>42</v>
      </c>
      <c r="D123" s="25" t="str">
        <f t="shared" si="9"/>
        <v>Item _Unknown_ BUT</v>
      </c>
      <c r="E123" s="27">
        <f t="shared" si="6"/>
        <v>39.5</v>
      </c>
      <c r="F123" s="6">
        <v>4</v>
      </c>
      <c r="G123" s="6">
        <v>158</v>
      </c>
      <c r="H123" s="5" t="s">
        <v>15</v>
      </c>
      <c r="I123" s="5" t="s">
        <v>39</v>
      </c>
      <c r="J123" s="40">
        <v>44665</v>
      </c>
      <c r="K123" s="29" t="b">
        <f t="shared" si="7"/>
        <v>0</v>
      </c>
      <c r="L123" s="29" t="str">
        <f t="shared" si="10"/>
        <v>No Discount</v>
      </c>
      <c r="M123" s="18" t="str">
        <f t="shared" si="8"/>
        <v>High Profit</v>
      </c>
    </row>
    <row r="124" spans="1:13" ht="15.75" thickBot="1" x14ac:dyDescent="0.3">
      <c r="A124" s="17" t="s">
        <v>344</v>
      </c>
      <c r="B124" s="11" t="s">
        <v>99</v>
      </c>
      <c r="C124" s="11" t="s">
        <v>25</v>
      </c>
      <c r="D124" s="25" t="str">
        <f t="shared" si="9"/>
        <v>Item _Unknown_ FUR</v>
      </c>
      <c r="E124" s="27">
        <f t="shared" si="6"/>
        <v>12.5</v>
      </c>
      <c r="F124" s="12">
        <v>2</v>
      </c>
      <c r="G124" s="12">
        <v>25</v>
      </c>
      <c r="H124" s="11" t="s">
        <v>51</v>
      </c>
      <c r="I124" s="11" t="s">
        <v>39</v>
      </c>
      <c r="J124" s="41">
        <v>44931</v>
      </c>
      <c r="K124" s="29" t="b">
        <f t="shared" si="7"/>
        <v>0</v>
      </c>
      <c r="L124" s="29" t="str">
        <f t="shared" si="10"/>
        <v>No Discount</v>
      </c>
      <c r="M124" s="18" t="str">
        <f t="shared" si="8"/>
        <v>Loss</v>
      </c>
    </row>
    <row r="125" spans="1:13" ht="15.75" thickBot="1" x14ac:dyDescent="0.3">
      <c r="A125" s="16" t="s">
        <v>346</v>
      </c>
      <c r="B125" s="5" t="s">
        <v>48</v>
      </c>
      <c r="C125" s="5" t="s">
        <v>42</v>
      </c>
      <c r="D125" s="25" t="str">
        <f t="shared" si="9"/>
        <v>Item _Unknown_ FOO</v>
      </c>
      <c r="E125" s="27">
        <f t="shared" ref="E125:E184" si="11">G125/F125</f>
        <v>41</v>
      </c>
      <c r="F125" s="6">
        <v>10</v>
      </c>
      <c r="G125" s="6">
        <v>410</v>
      </c>
      <c r="H125" s="5" t="s">
        <v>27</v>
      </c>
      <c r="I125" s="5" t="s">
        <v>39</v>
      </c>
      <c r="J125" s="40">
        <v>45148</v>
      </c>
      <c r="K125" s="29" t="b">
        <f t="shared" si="7"/>
        <v>0</v>
      </c>
      <c r="L125" s="29" t="str">
        <f t="shared" si="10"/>
        <v>No Discount</v>
      </c>
      <c r="M125" s="18" t="str">
        <f t="shared" si="8"/>
        <v>High Profit</v>
      </c>
    </row>
    <row r="126" spans="1:13" ht="15.75" thickBot="1" x14ac:dyDescent="0.3">
      <c r="A126" s="17" t="s">
        <v>347</v>
      </c>
      <c r="B126" s="11" t="s">
        <v>99</v>
      </c>
      <c r="C126" s="11" t="s">
        <v>20</v>
      </c>
      <c r="D126" s="25" t="str">
        <f t="shared" si="9"/>
        <v>Item _Unknown_ MIL</v>
      </c>
      <c r="E126" s="27">
        <f t="shared" si="11"/>
        <v>5</v>
      </c>
      <c r="F126" s="12">
        <v>10</v>
      </c>
      <c r="G126" s="12">
        <v>50</v>
      </c>
      <c r="H126" s="11" t="s">
        <v>15</v>
      </c>
      <c r="I126" s="11" t="s">
        <v>16</v>
      </c>
      <c r="J126" s="41">
        <v>44603</v>
      </c>
      <c r="K126" s="29" t="b">
        <f t="shared" si="7"/>
        <v>0</v>
      </c>
      <c r="L126" s="29" t="str">
        <f t="shared" si="10"/>
        <v>No Discount</v>
      </c>
      <c r="M126" s="18" t="str">
        <f t="shared" si="8"/>
        <v>Loss</v>
      </c>
    </row>
    <row r="127" spans="1:13" ht="15.75" thickBot="1" x14ac:dyDescent="0.3">
      <c r="A127" s="16" t="s">
        <v>349</v>
      </c>
      <c r="B127" s="5" t="s">
        <v>29</v>
      </c>
      <c r="C127" s="5" t="s">
        <v>20</v>
      </c>
      <c r="D127" s="25" t="str">
        <f t="shared" ref="D127:D186" si="12">"Item _Unknown_ "&amp;UPPER(LEFT(C123,3))</f>
        <v>Item _Unknown_ FUR</v>
      </c>
      <c r="E127" s="27">
        <f t="shared" si="11"/>
        <v>39.5</v>
      </c>
      <c r="F127" s="6">
        <v>10</v>
      </c>
      <c r="G127" s="6">
        <v>395</v>
      </c>
      <c r="H127" s="5" t="s">
        <v>15</v>
      </c>
      <c r="I127" s="5" t="s">
        <v>16</v>
      </c>
      <c r="J127" s="40">
        <v>45372</v>
      </c>
      <c r="K127" s="29" t="b">
        <f t="shared" si="7"/>
        <v>0</v>
      </c>
      <c r="L127" s="29" t="str">
        <f t="shared" si="10"/>
        <v>No Discount</v>
      </c>
      <c r="M127" s="18" t="str">
        <f t="shared" si="8"/>
        <v>High Profit</v>
      </c>
    </row>
    <row r="128" spans="1:13" ht="30.75" thickBot="1" x14ac:dyDescent="0.3">
      <c r="A128" s="17" t="s">
        <v>352</v>
      </c>
      <c r="B128" s="11" t="s">
        <v>94</v>
      </c>
      <c r="C128" s="11" t="s">
        <v>158</v>
      </c>
      <c r="D128" s="25" t="str">
        <f t="shared" si="12"/>
        <v>Item _Unknown_ BEV</v>
      </c>
      <c r="E128" s="27">
        <f t="shared" si="11"/>
        <v>6.5</v>
      </c>
      <c r="F128" s="12">
        <v>5</v>
      </c>
      <c r="G128" s="12">
        <v>32.5</v>
      </c>
      <c r="H128" s="11" t="s">
        <v>15</v>
      </c>
      <c r="I128" s="11" t="s">
        <v>16</v>
      </c>
      <c r="J128" s="41">
        <v>45163</v>
      </c>
      <c r="K128" s="29" t="b">
        <f t="shared" si="7"/>
        <v>0</v>
      </c>
      <c r="L128" s="29" t="str">
        <f t="shared" si="10"/>
        <v>No Discount</v>
      </c>
      <c r="M128" s="18" t="str">
        <f t="shared" si="8"/>
        <v>Loss</v>
      </c>
    </row>
    <row r="129" spans="1:13" ht="15.75" thickBot="1" x14ac:dyDescent="0.3">
      <c r="A129" s="16" t="s">
        <v>354</v>
      </c>
      <c r="B129" s="5" t="s">
        <v>19</v>
      </c>
      <c r="C129" s="5" t="s">
        <v>49</v>
      </c>
      <c r="D129" s="25" t="str">
        <f t="shared" si="12"/>
        <v>Item _Unknown_ FUR</v>
      </c>
      <c r="E129" s="27">
        <f t="shared" si="11"/>
        <v>30.5</v>
      </c>
      <c r="F129" s="6">
        <v>4</v>
      </c>
      <c r="G129" s="6">
        <v>122</v>
      </c>
      <c r="H129" s="5" t="s">
        <v>15</v>
      </c>
      <c r="I129" s="5" t="s">
        <v>16</v>
      </c>
      <c r="J129" s="40">
        <v>44726</v>
      </c>
      <c r="K129" s="29" t="b">
        <f t="shared" si="7"/>
        <v>0</v>
      </c>
      <c r="L129" s="29" t="str">
        <f t="shared" si="10"/>
        <v>No Discount</v>
      </c>
      <c r="M129" s="18" t="str">
        <f t="shared" si="8"/>
        <v>Medium</v>
      </c>
    </row>
    <row r="130" spans="1:13" ht="15.75" thickBot="1" x14ac:dyDescent="0.3">
      <c r="A130" s="17" t="s">
        <v>361</v>
      </c>
      <c r="B130" s="11" t="s">
        <v>140</v>
      </c>
      <c r="C130" s="11" t="s">
        <v>42</v>
      </c>
      <c r="D130" s="25" t="str">
        <f>"Item _Unknown_ "&amp;UPPER(LEFT(C128,3))</f>
        <v>Item _Unknown_ COM</v>
      </c>
      <c r="E130" s="27">
        <f t="shared" si="11"/>
        <v>5</v>
      </c>
      <c r="F130" s="12">
        <v>3</v>
      </c>
      <c r="G130" s="12">
        <v>15</v>
      </c>
      <c r="H130" s="11" t="s">
        <v>15</v>
      </c>
      <c r="I130" s="11" t="s">
        <v>16</v>
      </c>
      <c r="J130" s="41">
        <v>45443</v>
      </c>
      <c r="K130" s="29" t="b">
        <f t="shared" ref="K130:K193" si="13">IF(ROUND(E130*F130,2)=G130,FALSE,TRUE)</f>
        <v>0</v>
      </c>
      <c r="L130" s="29" t="str">
        <f t="shared" si="10"/>
        <v>No Discount</v>
      </c>
      <c r="M130" s="18" t="str">
        <f t="shared" ref="M130:M193" si="14">IF(E130&gt;=35,"High Profit",IF(E130&gt;=25,"Medium","Loss"))</f>
        <v>Loss</v>
      </c>
    </row>
    <row r="131" spans="1:13" ht="15.75" thickBot="1" x14ac:dyDescent="0.3">
      <c r="A131" s="16" t="s">
        <v>364</v>
      </c>
      <c r="B131" s="5" t="s">
        <v>12</v>
      </c>
      <c r="C131" s="5" t="s">
        <v>25</v>
      </c>
      <c r="D131" s="25" t="str">
        <f>"Item _Unknown_ "&amp;UPPER(LEFT(C129,3))</f>
        <v>Item _Unknown_ BUT</v>
      </c>
      <c r="E131" s="27">
        <f t="shared" si="11"/>
        <v>33.5</v>
      </c>
      <c r="F131" s="6">
        <v>1</v>
      </c>
      <c r="G131" s="6">
        <v>33.5</v>
      </c>
      <c r="H131" s="5" t="s">
        <v>27</v>
      </c>
      <c r="I131" s="5" t="s">
        <v>16</v>
      </c>
      <c r="J131" s="40">
        <v>44948</v>
      </c>
      <c r="K131" s="29" t="b">
        <f t="shared" si="13"/>
        <v>0</v>
      </c>
      <c r="L131" s="29" t="str">
        <f t="shared" ref="L131:L194" si="15">IF(K131=FALSE,"No Discount","Discount Applied")</f>
        <v>No Discount</v>
      </c>
      <c r="M131" s="18" t="str">
        <f t="shared" si="14"/>
        <v>Medium</v>
      </c>
    </row>
    <row r="132" spans="1:13" ht="15.75" thickBot="1" x14ac:dyDescent="0.3">
      <c r="A132" s="17" t="s">
        <v>366</v>
      </c>
      <c r="B132" s="11" t="s">
        <v>44</v>
      </c>
      <c r="C132" s="11" t="s">
        <v>20</v>
      </c>
      <c r="D132" s="25" t="str">
        <f t="shared" ref="D132:D133" si="16">"Item _Unknown_ "&amp;UPPER(LEFT(C123,3))</f>
        <v>Item _Unknown_ FUR</v>
      </c>
      <c r="E132" s="27">
        <f t="shared" si="11"/>
        <v>8</v>
      </c>
      <c r="F132" s="12">
        <v>3</v>
      </c>
      <c r="G132" s="12">
        <v>24</v>
      </c>
      <c r="H132" s="11" t="s">
        <v>51</v>
      </c>
      <c r="I132" s="11" t="s">
        <v>39</v>
      </c>
      <c r="J132" s="41">
        <v>44936</v>
      </c>
      <c r="K132" s="29" t="b">
        <f t="shared" si="13"/>
        <v>0</v>
      </c>
      <c r="L132" s="29" t="str">
        <f t="shared" si="15"/>
        <v>No Discount</v>
      </c>
      <c r="M132" s="18" t="str">
        <f t="shared" si="14"/>
        <v>Loss</v>
      </c>
    </row>
    <row r="133" spans="1:13" ht="30.75" thickBot="1" x14ac:dyDescent="0.3">
      <c r="A133" s="16" t="s">
        <v>368</v>
      </c>
      <c r="B133" s="5" t="s">
        <v>206</v>
      </c>
      <c r="C133" s="5" t="s">
        <v>75</v>
      </c>
      <c r="D133" s="25" t="str">
        <f t="shared" si="16"/>
        <v>Item _Unknown_ BEV</v>
      </c>
      <c r="E133" s="27">
        <f t="shared" si="11"/>
        <v>18.5</v>
      </c>
      <c r="F133" s="6">
        <v>6</v>
      </c>
      <c r="G133" s="6">
        <v>111</v>
      </c>
      <c r="H133" s="5" t="s">
        <v>27</v>
      </c>
      <c r="I133" s="5" t="s">
        <v>16</v>
      </c>
      <c r="J133" s="40">
        <v>45600</v>
      </c>
      <c r="K133" s="29" t="b">
        <f t="shared" si="13"/>
        <v>0</v>
      </c>
      <c r="L133" s="29" t="str">
        <f t="shared" si="15"/>
        <v>No Discount</v>
      </c>
      <c r="M133" s="18" t="str">
        <f t="shared" si="14"/>
        <v>Loss</v>
      </c>
    </row>
    <row r="134" spans="1:13" ht="15.75" thickBot="1" x14ac:dyDescent="0.3">
      <c r="A134" s="17" t="s">
        <v>369</v>
      </c>
      <c r="B134" s="11" t="s">
        <v>136</v>
      </c>
      <c r="C134" s="11" t="s">
        <v>20</v>
      </c>
      <c r="D134" s="25" t="str">
        <f t="shared" si="12"/>
        <v>Item _Unknown_ FUR</v>
      </c>
      <c r="E134" s="27">
        <f t="shared" si="11"/>
        <v>20</v>
      </c>
      <c r="F134" s="12">
        <v>6</v>
      </c>
      <c r="G134" s="12">
        <v>120</v>
      </c>
      <c r="H134" s="11" t="s">
        <v>27</v>
      </c>
      <c r="I134" s="11" t="s">
        <v>16</v>
      </c>
      <c r="J134" s="41">
        <v>45491</v>
      </c>
      <c r="K134" s="29" t="b">
        <f t="shared" si="13"/>
        <v>0</v>
      </c>
      <c r="L134" s="29" t="str">
        <f t="shared" si="15"/>
        <v>No Discount</v>
      </c>
      <c r="M134" s="18" t="str">
        <f t="shared" si="14"/>
        <v>Loss</v>
      </c>
    </row>
    <row r="135" spans="1:13" ht="15.75" thickBot="1" x14ac:dyDescent="0.3">
      <c r="A135" s="16" t="s">
        <v>372</v>
      </c>
      <c r="B135" s="5" t="s">
        <v>37</v>
      </c>
      <c r="C135" s="5" t="s">
        <v>49</v>
      </c>
      <c r="D135" s="25" t="str">
        <f t="shared" si="12"/>
        <v>Item _Unknown_ BEV</v>
      </c>
      <c r="E135" s="27">
        <f t="shared" si="11"/>
        <v>8</v>
      </c>
      <c r="F135" s="6">
        <v>5</v>
      </c>
      <c r="G135" s="6">
        <v>40</v>
      </c>
      <c r="H135" s="5" t="s">
        <v>27</v>
      </c>
      <c r="I135" s="5" t="s">
        <v>39</v>
      </c>
      <c r="J135" s="40">
        <v>44910</v>
      </c>
      <c r="K135" s="29" t="b">
        <f t="shared" si="13"/>
        <v>0</v>
      </c>
      <c r="L135" s="29" t="str">
        <f t="shared" si="15"/>
        <v>No Discount</v>
      </c>
      <c r="M135" s="18" t="str">
        <f t="shared" si="14"/>
        <v>Loss</v>
      </c>
    </row>
    <row r="136" spans="1:13" ht="15.75" thickBot="1" x14ac:dyDescent="0.3">
      <c r="A136" s="17" t="s">
        <v>374</v>
      </c>
      <c r="B136" s="11" t="s">
        <v>41</v>
      </c>
      <c r="C136" s="11" t="s">
        <v>30</v>
      </c>
      <c r="D136" s="25" t="str">
        <f t="shared" si="12"/>
        <v>Item _Unknown_ MIL</v>
      </c>
      <c r="E136" s="27">
        <f t="shared" si="11"/>
        <v>39.5</v>
      </c>
      <c r="F136" s="12">
        <v>10</v>
      </c>
      <c r="G136" s="12">
        <v>395</v>
      </c>
      <c r="H136" s="11" t="s">
        <v>27</v>
      </c>
      <c r="I136" s="11" t="s">
        <v>16</v>
      </c>
      <c r="J136" s="41">
        <v>44610</v>
      </c>
      <c r="K136" s="29" t="b">
        <f t="shared" si="13"/>
        <v>0</v>
      </c>
      <c r="L136" s="29" t="str">
        <f t="shared" si="15"/>
        <v>No Discount</v>
      </c>
      <c r="M136" s="18" t="str">
        <f t="shared" si="14"/>
        <v>High Profit</v>
      </c>
    </row>
    <row r="137" spans="1:13" ht="30.75" thickBot="1" x14ac:dyDescent="0.3">
      <c r="A137" s="16" t="s">
        <v>376</v>
      </c>
      <c r="B137" s="5" t="s">
        <v>60</v>
      </c>
      <c r="C137" s="5" t="s">
        <v>158</v>
      </c>
      <c r="D137" s="25" t="str">
        <f t="shared" si="12"/>
        <v>Item _Unknown_ ELE</v>
      </c>
      <c r="E137" s="27">
        <f t="shared" si="11"/>
        <v>23</v>
      </c>
      <c r="F137" s="6">
        <v>2</v>
      </c>
      <c r="G137" s="6">
        <v>46</v>
      </c>
      <c r="H137" s="5" t="s">
        <v>15</v>
      </c>
      <c r="I137" s="5" t="s">
        <v>39</v>
      </c>
      <c r="J137" s="40">
        <v>45331</v>
      </c>
      <c r="K137" s="29" t="b">
        <f t="shared" si="13"/>
        <v>0</v>
      </c>
      <c r="L137" s="29" t="str">
        <f t="shared" si="15"/>
        <v>No Discount</v>
      </c>
      <c r="M137" s="18" t="str">
        <f t="shared" si="14"/>
        <v>Loss</v>
      </c>
    </row>
    <row r="138" spans="1:13" ht="30.75" thickBot="1" x14ac:dyDescent="0.3">
      <c r="A138" s="17" t="s">
        <v>378</v>
      </c>
      <c r="B138" s="11" t="s">
        <v>106</v>
      </c>
      <c r="C138" s="11" t="s">
        <v>158</v>
      </c>
      <c r="D138" s="25" t="str">
        <f t="shared" si="12"/>
        <v>Item _Unknown_ MIL</v>
      </c>
      <c r="E138" s="27">
        <f t="shared" si="11"/>
        <v>12.5</v>
      </c>
      <c r="F138" s="12">
        <v>2</v>
      </c>
      <c r="G138" s="12">
        <v>25</v>
      </c>
      <c r="H138" s="11" t="s">
        <v>15</v>
      </c>
      <c r="I138" s="11" t="s">
        <v>39</v>
      </c>
      <c r="J138" s="41">
        <v>45576</v>
      </c>
      <c r="K138" s="29" t="b">
        <f t="shared" si="13"/>
        <v>0</v>
      </c>
      <c r="L138" s="29" t="str">
        <f t="shared" si="15"/>
        <v>No Discount</v>
      </c>
      <c r="M138" s="18" t="str">
        <f t="shared" si="14"/>
        <v>Loss</v>
      </c>
    </row>
    <row r="139" spans="1:13" ht="15.75" thickBot="1" x14ac:dyDescent="0.3">
      <c r="A139" s="16" t="s">
        <v>380</v>
      </c>
      <c r="B139" s="5" t="s">
        <v>48</v>
      </c>
      <c r="C139" s="5" t="s">
        <v>42</v>
      </c>
      <c r="D139" s="25" t="str">
        <f t="shared" si="12"/>
        <v>Item _Unknown_ BUT</v>
      </c>
      <c r="E139" s="27">
        <f t="shared" si="11"/>
        <v>6.5</v>
      </c>
      <c r="F139" s="6">
        <v>5</v>
      </c>
      <c r="G139" s="6">
        <v>32.5</v>
      </c>
      <c r="H139" s="5" t="s">
        <v>15</v>
      </c>
      <c r="I139" s="5" t="s">
        <v>39</v>
      </c>
      <c r="J139" s="40">
        <v>45126</v>
      </c>
      <c r="K139" s="29" t="b">
        <f t="shared" si="13"/>
        <v>0</v>
      </c>
      <c r="L139" s="29" t="str">
        <f t="shared" si="15"/>
        <v>No Discount</v>
      </c>
      <c r="M139" s="18" t="str">
        <f t="shared" si="14"/>
        <v>Loss</v>
      </c>
    </row>
    <row r="140" spans="1:13" ht="15.75" thickBot="1" x14ac:dyDescent="0.3">
      <c r="A140" s="17" t="s">
        <v>383</v>
      </c>
      <c r="B140" s="11" t="s">
        <v>94</v>
      </c>
      <c r="C140" s="11" t="s">
        <v>30</v>
      </c>
      <c r="D140" s="25" t="str">
        <f t="shared" si="12"/>
        <v>Item _Unknown_ FOO</v>
      </c>
      <c r="E140" s="27">
        <f t="shared" si="11"/>
        <v>30.5</v>
      </c>
      <c r="F140" s="12">
        <v>10</v>
      </c>
      <c r="G140" s="12">
        <v>305</v>
      </c>
      <c r="H140" s="11" t="s">
        <v>51</v>
      </c>
      <c r="I140" s="11" t="s">
        <v>16</v>
      </c>
      <c r="J140" s="41">
        <v>45608</v>
      </c>
      <c r="K140" s="29" t="b">
        <f t="shared" si="13"/>
        <v>0</v>
      </c>
      <c r="L140" s="29" t="str">
        <f t="shared" si="15"/>
        <v>No Discount</v>
      </c>
      <c r="M140" s="18" t="str">
        <f t="shared" si="14"/>
        <v>Medium</v>
      </c>
    </row>
    <row r="141" spans="1:13" ht="15.75" thickBot="1" x14ac:dyDescent="0.3">
      <c r="A141" s="16" t="s">
        <v>384</v>
      </c>
      <c r="B141" s="5" t="s">
        <v>74</v>
      </c>
      <c r="C141" s="5" t="s">
        <v>25</v>
      </c>
      <c r="D141" s="25" t="str">
        <f t="shared" si="12"/>
        <v>Item _Unknown_ COM</v>
      </c>
      <c r="E141" s="27">
        <f t="shared" si="11"/>
        <v>36.5</v>
      </c>
      <c r="F141" s="6">
        <v>1</v>
      </c>
      <c r="G141" s="6">
        <v>36.5</v>
      </c>
      <c r="H141" s="5" t="s">
        <v>27</v>
      </c>
      <c r="I141" s="5" t="s">
        <v>16</v>
      </c>
      <c r="J141" s="40">
        <v>45439</v>
      </c>
      <c r="K141" s="29" t="b">
        <f t="shared" si="13"/>
        <v>0</v>
      </c>
      <c r="L141" s="29" t="str">
        <f t="shared" si="15"/>
        <v>No Discount</v>
      </c>
      <c r="M141" s="18" t="str">
        <f t="shared" si="14"/>
        <v>High Profit</v>
      </c>
    </row>
    <row r="142" spans="1:13" ht="15.75" thickBot="1" x14ac:dyDescent="0.3">
      <c r="A142" s="17" t="s">
        <v>386</v>
      </c>
      <c r="B142" s="11" t="s">
        <v>106</v>
      </c>
      <c r="C142" s="11" t="s">
        <v>25</v>
      </c>
      <c r="D142" s="25" t="str">
        <f t="shared" si="12"/>
        <v>Item _Unknown_ COM</v>
      </c>
      <c r="E142" s="27">
        <f t="shared" si="11"/>
        <v>12.5</v>
      </c>
      <c r="F142" s="12">
        <v>5</v>
      </c>
      <c r="G142" s="12">
        <v>62.5</v>
      </c>
      <c r="H142" s="11" t="s">
        <v>51</v>
      </c>
      <c r="I142" s="11" t="s">
        <v>16</v>
      </c>
      <c r="J142" s="41">
        <v>44965</v>
      </c>
      <c r="K142" s="29" t="b">
        <f t="shared" si="13"/>
        <v>0</v>
      </c>
      <c r="L142" s="29" t="str">
        <f t="shared" si="15"/>
        <v>No Discount</v>
      </c>
      <c r="M142" s="18" t="str">
        <f t="shared" si="14"/>
        <v>Loss</v>
      </c>
    </row>
    <row r="143" spans="1:13" ht="15.75" thickBot="1" x14ac:dyDescent="0.3">
      <c r="A143" s="16" t="s">
        <v>387</v>
      </c>
      <c r="B143" s="5" t="s">
        <v>12</v>
      </c>
      <c r="C143" s="5" t="s">
        <v>13</v>
      </c>
      <c r="D143" s="25" t="str">
        <f t="shared" si="12"/>
        <v>Item _Unknown_ FUR</v>
      </c>
      <c r="E143" s="27">
        <f t="shared" si="11"/>
        <v>12.5</v>
      </c>
      <c r="F143" s="6">
        <v>2</v>
      </c>
      <c r="G143" s="6">
        <v>25</v>
      </c>
      <c r="H143" s="5" t="s">
        <v>15</v>
      </c>
      <c r="I143" s="5" t="s">
        <v>39</v>
      </c>
      <c r="J143" s="40">
        <v>45381</v>
      </c>
      <c r="K143" s="29" t="b">
        <f t="shared" si="13"/>
        <v>0</v>
      </c>
      <c r="L143" s="29" t="str">
        <f t="shared" si="15"/>
        <v>No Discount</v>
      </c>
      <c r="M143" s="18" t="str">
        <f t="shared" si="14"/>
        <v>Loss</v>
      </c>
    </row>
    <row r="144" spans="1:13" ht="15.75" thickBot="1" x14ac:dyDescent="0.3">
      <c r="A144" s="17" t="s">
        <v>389</v>
      </c>
      <c r="B144" s="11" t="s">
        <v>12</v>
      </c>
      <c r="C144" s="11" t="s">
        <v>25</v>
      </c>
      <c r="D144" s="25" t="str">
        <f t="shared" si="12"/>
        <v>Item _Unknown_ FOO</v>
      </c>
      <c r="E144" s="27">
        <f t="shared" si="11"/>
        <v>35</v>
      </c>
      <c r="F144" s="12">
        <v>8</v>
      </c>
      <c r="G144" s="12">
        <v>280</v>
      </c>
      <c r="H144" s="11" t="s">
        <v>27</v>
      </c>
      <c r="I144" s="11" t="s">
        <v>16</v>
      </c>
      <c r="J144" s="41">
        <v>45017</v>
      </c>
      <c r="K144" s="29" t="b">
        <f t="shared" si="13"/>
        <v>0</v>
      </c>
      <c r="L144" s="29" t="str">
        <f t="shared" si="15"/>
        <v>No Discount</v>
      </c>
      <c r="M144" s="18" t="str">
        <f t="shared" si="14"/>
        <v>High Profit</v>
      </c>
    </row>
    <row r="145" spans="1:13" ht="15.75" thickBot="1" x14ac:dyDescent="0.3">
      <c r="A145" s="16" t="s">
        <v>391</v>
      </c>
      <c r="B145" s="5" t="s">
        <v>117</v>
      </c>
      <c r="C145" s="5" t="s">
        <v>42</v>
      </c>
      <c r="D145" s="25" t="str">
        <f t="shared" si="12"/>
        <v>Item _Unknown_ BEV</v>
      </c>
      <c r="E145" s="27">
        <f t="shared" si="11"/>
        <v>15.5</v>
      </c>
      <c r="F145" s="6">
        <v>9</v>
      </c>
      <c r="G145" s="6">
        <v>139.5</v>
      </c>
      <c r="H145" s="5" t="s">
        <v>51</v>
      </c>
      <c r="I145" s="5" t="s">
        <v>16</v>
      </c>
      <c r="J145" s="40">
        <v>45450</v>
      </c>
      <c r="K145" s="29" t="b">
        <f t="shared" si="13"/>
        <v>0</v>
      </c>
      <c r="L145" s="29" t="str">
        <f t="shared" si="15"/>
        <v>No Discount</v>
      </c>
      <c r="M145" s="18" t="str">
        <f t="shared" si="14"/>
        <v>Loss</v>
      </c>
    </row>
    <row r="146" spans="1:13" ht="15.75" thickBot="1" x14ac:dyDescent="0.3">
      <c r="A146" s="17" t="s">
        <v>393</v>
      </c>
      <c r="B146" s="11" t="s">
        <v>127</v>
      </c>
      <c r="C146" s="11" t="s">
        <v>49</v>
      </c>
      <c r="D146" s="25" t="str">
        <f t="shared" si="12"/>
        <v>Item _Unknown_ BEV</v>
      </c>
      <c r="E146" s="27">
        <f t="shared" si="11"/>
        <v>36.5</v>
      </c>
      <c r="F146" s="12">
        <v>6</v>
      </c>
      <c r="G146" s="12">
        <v>219</v>
      </c>
      <c r="H146" s="11" t="s">
        <v>15</v>
      </c>
      <c r="I146" s="11" t="s">
        <v>39</v>
      </c>
      <c r="J146" s="41">
        <v>45476</v>
      </c>
      <c r="K146" s="29" t="b">
        <f t="shared" si="13"/>
        <v>0</v>
      </c>
      <c r="L146" s="29" t="str">
        <f t="shared" si="15"/>
        <v>No Discount</v>
      </c>
      <c r="M146" s="18" t="str">
        <f t="shared" si="14"/>
        <v>High Profit</v>
      </c>
    </row>
    <row r="147" spans="1:13" ht="15.75" thickBot="1" x14ac:dyDescent="0.3">
      <c r="A147" s="16" t="s">
        <v>394</v>
      </c>
      <c r="B147" s="5" t="s">
        <v>149</v>
      </c>
      <c r="C147" s="5" t="s">
        <v>49</v>
      </c>
      <c r="D147" s="25" t="str">
        <f t="shared" si="12"/>
        <v>Item _Unknown_ PAT</v>
      </c>
      <c r="E147" s="27">
        <f t="shared" si="11"/>
        <v>23</v>
      </c>
      <c r="F147" s="6">
        <v>7</v>
      </c>
      <c r="G147" s="6">
        <v>161</v>
      </c>
      <c r="H147" s="5" t="s">
        <v>27</v>
      </c>
      <c r="I147" s="5" t="s">
        <v>16</v>
      </c>
      <c r="J147" s="40">
        <v>45161</v>
      </c>
      <c r="K147" s="29" t="b">
        <f t="shared" si="13"/>
        <v>0</v>
      </c>
      <c r="L147" s="29" t="str">
        <f t="shared" si="15"/>
        <v>No Discount</v>
      </c>
      <c r="M147" s="18" t="str">
        <f t="shared" si="14"/>
        <v>Loss</v>
      </c>
    </row>
    <row r="148" spans="1:13" ht="15.75" thickBot="1" x14ac:dyDescent="0.3">
      <c r="A148" s="17" t="s">
        <v>397</v>
      </c>
      <c r="B148" s="11" t="s">
        <v>48</v>
      </c>
      <c r="C148" s="11" t="s">
        <v>25</v>
      </c>
      <c r="D148" s="25" t="str">
        <f t="shared" si="12"/>
        <v>Item _Unknown_ BEV</v>
      </c>
      <c r="E148" s="27">
        <f t="shared" si="11"/>
        <v>6.5</v>
      </c>
      <c r="F148" s="12">
        <v>4</v>
      </c>
      <c r="G148" s="12">
        <v>26</v>
      </c>
      <c r="H148" s="11" t="s">
        <v>15</v>
      </c>
      <c r="I148" s="11" t="s">
        <v>16</v>
      </c>
      <c r="J148" s="41">
        <v>44831</v>
      </c>
      <c r="K148" s="29" t="b">
        <f t="shared" si="13"/>
        <v>0</v>
      </c>
      <c r="L148" s="29" t="str">
        <f t="shared" si="15"/>
        <v>No Discount</v>
      </c>
      <c r="M148" s="18" t="str">
        <f t="shared" si="14"/>
        <v>Loss</v>
      </c>
    </row>
    <row r="149" spans="1:13" ht="15.75" thickBot="1" x14ac:dyDescent="0.3">
      <c r="A149" s="16" t="s">
        <v>400</v>
      </c>
      <c r="B149" s="5" t="s">
        <v>41</v>
      </c>
      <c r="C149" s="5" t="s">
        <v>49</v>
      </c>
      <c r="D149" s="25" t="str">
        <f t="shared" si="12"/>
        <v>Item _Unknown_ FUR</v>
      </c>
      <c r="E149" s="27">
        <f t="shared" si="11"/>
        <v>14</v>
      </c>
      <c r="F149" s="6">
        <v>9</v>
      </c>
      <c r="G149" s="6">
        <v>126</v>
      </c>
      <c r="H149" s="5" t="s">
        <v>15</v>
      </c>
      <c r="I149" s="5" t="s">
        <v>39</v>
      </c>
      <c r="J149" s="40">
        <v>45355</v>
      </c>
      <c r="K149" s="29" t="b">
        <f t="shared" si="13"/>
        <v>0</v>
      </c>
      <c r="L149" s="29" t="str">
        <f t="shared" si="15"/>
        <v>No Discount</v>
      </c>
      <c r="M149" s="18" t="str">
        <f t="shared" si="14"/>
        <v>Loss</v>
      </c>
    </row>
    <row r="150" spans="1:13" ht="15.75" thickBot="1" x14ac:dyDescent="0.3">
      <c r="A150" s="17" t="s">
        <v>401</v>
      </c>
      <c r="B150" s="11" t="s">
        <v>94</v>
      </c>
      <c r="C150" s="11" t="s">
        <v>30</v>
      </c>
      <c r="D150" s="25" t="str">
        <f t="shared" si="12"/>
        <v>Item _Unknown_ BUT</v>
      </c>
      <c r="E150" s="27">
        <f t="shared" si="11"/>
        <v>24.5</v>
      </c>
      <c r="F150" s="12">
        <v>4</v>
      </c>
      <c r="G150" s="12">
        <v>98</v>
      </c>
      <c r="H150" s="11" t="s">
        <v>15</v>
      </c>
      <c r="I150" s="11" t="s">
        <v>39</v>
      </c>
      <c r="J150" s="41">
        <v>44622</v>
      </c>
      <c r="K150" s="29" t="b">
        <f t="shared" si="13"/>
        <v>0</v>
      </c>
      <c r="L150" s="29" t="str">
        <f t="shared" si="15"/>
        <v>No Discount</v>
      </c>
      <c r="M150" s="18" t="str">
        <f t="shared" si="14"/>
        <v>Loss</v>
      </c>
    </row>
    <row r="151" spans="1:13" ht="30.75" thickBot="1" x14ac:dyDescent="0.3">
      <c r="A151" s="16" t="s">
        <v>402</v>
      </c>
      <c r="B151" s="5" t="s">
        <v>120</v>
      </c>
      <c r="C151" s="5" t="s">
        <v>75</v>
      </c>
      <c r="D151" s="25" t="str">
        <f t="shared" si="12"/>
        <v>Item _Unknown_ BUT</v>
      </c>
      <c r="E151" s="27">
        <f t="shared" si="11"/>
        <v>14</v>
      </c>
      <c r="F151" s="6">
        <v>9</v>
      </c>
      <c r="G151" s="6">
        <v>126</v>
      </c>
      <c r="H151" s="5" t="s">
        <v>27</v>
      </c>
      <c r="I151" s="5" t="s">
        <v>39</v>
      </c>
      <c r="J151" s="40">
        <v>45551</v>
      </c>
      <c r="K151" s="29" t="b">
        <f t="shared" si="13"/>
        <v>0</v>
      </c>
      <c r="L151" s="29" t="str">
        <f t="shared" si="15"/>
        <v>No Discount</v>
      </c>
      <c r="M151" s="18" t="str">
        <f t="shared" si="14"/>
        <v>Loss</v>
      </c>
    </row>
    <row r="152" spans="1:13" ht="15.75" thickBot="1" x14ac:dyDescent="0.3">
      <c r="A152" s="17" t="s">
        <v>405</v>
      </c>
      <c r="B152" s="11" t="s">
        <v>130</v>
      </c>
      <c r="C152" s="11" t="s">
        <v>49</v>
      </c>
      <c r="D152" s="25" t="str">
        <f t="shared" si="12"/>
        <v>Item _Unknown_ BEV</v>
      </c>
      <c r="E152" s="27">
        <f t="shared" si="11"/>
        <v>35</v>
      </c>
      <c r="F152" s="12">
        <v>9</v>
      </c>
      <c r="G152" s="12">
        <v>315</v>
      </c>
      <c r="H152" s="11" t="s">
        <v>51</v>
      </c>
      <c r="I152" s="11" t="s">
        <v>39</v>
      </c>
      <c r="J152" s="41">
        <v>45330</v>
      </c>
      <c r="K152" s="29" t="b">
        <f t="shared" si="13"/>
        <v>0</v>
      </c>
      <c r="L152" s="29" t="str">
        <f t="shared" si="15"/>
        <v>No Discount</v>
      </c>
      <c r="M152" s="18" t="str">
        <f t="shared" si="14"/>
        <v>High Profit</v>
      </c>
    </row>
    <row r="153" spans="1:13" ht="15.75" thickBot="1" x14ac:dyDescent="0.3">
      <c r="A153" s="16" t="s">
        <v>406</v>
      </c>
      <c r="B153" s="5" t="s">
        <v>19</v>
      </c>
      <c r="C153" s="5" t="s">
        <v>30</v>
      </c>
      <c r="D153" s="25" t="str">
        <f t="shared" si="12"/>
        <v>Item _Unknown_ BUT</v>
      </c>
      <c r="E153" s="27">
        <f t="shared" si="11"/>
        <v>17</v>
      </c>
      <c r="F153" s="6">
        <v>5</v>
      </c>
      <c r="G153" s="6">
        <v>85</v>
      </c>
      <c r="H153" s="5" t="s">
        <v>15</v>
      </c>
      <c r="I153" s="5" t="s">
        <v>39</v>
      </c>
      <c r="J153" s="40">
        <v>45402</v>
      </c>
      <c r="K153" s="29" t="b">
        <f t="shared" si="13"/>
        <v>0</v>
      </c>
      <c r="L153" s="29" t="str">
        <f t="shared" si="15"/>
        <v>No Discount</v>
      </c>
      <c r="M153" s="18" t="str">
        <f t="shared" si="14"/>
        <v>Loss</v>
      </c>
    </row>
    <row r="154" spans="1:13" ht="15.75" thickBot="1" x14ac:dyDescent="0.3">
      <c r="A154" s="17" t="s">
        <v>408</v>
      </c>
      <c r="B154" s="11" t="s">
        <v>19</v>
      </c>
      <c r="C154" s="11" t="s">
        <v>42</v>
      </c>
      <c r="D154" s="25" t="str">
        <f t="shared" si="12"/>
        <v>Item _Unknown_ FOO</v>
      </c>
      <c r="E154" s="27">
        <f t="shared" si="11"/>
        <v>41</v>
      </c>
      <c r="F154" s="12">
        <v>1</v>
      </c>
      <c r="G154" s="12">
        <v>41</v>
      </c>
      <c r="H154" s="11" t="s">
        <v>27</v>
      </c>
      <c r="I154" s="11" t="s">
        <v>39</v>
      </c>
      <c r="J154" s="41">
        <v>45367</v>
      </c>
      <c r="K154" s="29" t="b">
        <f t="shared" si="13"/>
        <v>0</v>
      </c>
      <c r="L154" s="29" t="str">
        <f t="shared" si="15"/>
        <v>No Discount</v>
      </c>
      <c r="M154" s="18" t="str">
        <f t="shared" si="14"/>
        <v>High Profit</v>
      </c>
    </row>
    <row r="155" spans="1:13" ht="15.75" thickBot="1" x14ac:dyDescent="0.3">
      <c r="A155" s="16" t="s">
        <v>409</v>
      </c>
      <c r="B155" s="5" t="s">
        <v>127</v>
      </c>
      <c r="C155" s="5" t="s">
        <v>25</v>
      </c>
      <c r="D155" s="25" t="str">
        <f t="shared" si="12"/>
        <v>Item _Unknown_ ELE</v>
      </c>
      <c r="E155" s="27">
        <f t="shared" si="11"/>
        <v>14</v>
      </c>
      <c r="F155" s="6">
        <v>9</v>
      </c>
      <c r="G155" s="6">
        <v>126</v>
      </c>
      <c r="H155" s="5" t="s">
        <v>15</v>
      </c>
      <c r="I155" s="5" t="s">
        <v>16</v>
      </c>
      <c r="J155" s="40">
        <v>44897</v>
      </c>
      <c r="K155" s="29" t="b">
        <f t="shared" si="13"/>
        <v>0</v>
      </c>
      <c r="L155" s="29" t="str">
        <f t="shared" si="15"/>
        <v>No Discount</v>
      </c>
      <c r="M155" s="18" t="str">
        <f t="shared" si="14"/>
        <v>Loss</v>
      </c>
    </row>
    <row r="156" spans="1:13" ht="15.75" thickBot="1" x14ac:dyDescent="0.3">
      <c r="A156" s="17" t="s">
        <v>410</v>
      </c>
      <c r="B156" s="11" t="s">
        <v>136</v>
      </c>
      <c r="C156" s="11" t="s">
        <v>25</v>
      </c>
      <c r="D156" s="25" t="str">
        <f t="shared" si="12"/>
        <v>Item _Unknown_ BUT</v>
      </c>
      <c r="E156" s="27">
        <f t="shared" si="11"/>
        <v>14</v>
      </c>
      <c r="F156" s="12">
        <v>6</v>
      </c>
      <c r="G156" s="12">
        <v>84</v>
      </c>
      <c r="H156" s="11" t="s">
        <v>15</v>
      </c>
      <c r="I156" s="11" t="s">
        <v>16</v>
      </c>
      <c r="J156" s="41">
        <v>45651</v>
      </c>
      <c r="K156" s="29" t="b">
        <f t="shared" si="13"/>
        <v>0</v>
      </c>
      <c r="L156" s="29" t="str">
        <f t="shared" si="15"/>
        <v>No Discount</v>
      </c>
      <c r="M156" s="18" t="str">
        <f t="shared" si="14"/>
        <v>Loss</v>
      </c>
    </row>
    <row r="157" spans="1:13" ht="15.75" thickBot="1" x14ac:dyDescent="0.3">
      <c r="A157" s="16" t="s">
        <v>412</v>
      </c>
      <c r="B157" s="5" t="s">
        <v>86</v>
      </c>
      <c r="C157" s="5" t="s">
        <v>13</v>
      </c>
      <c r="D157" s="25" t="str">
        <f t="shared" si="12"/>
        <v>Item _Unknown_ FOO</v>
      </c>
      <c r="E157" s="27">
        <f t="shared" si="11"/>
        <v>41</v>
      </c>
      <c r="F157" s="6">
        <v>7</v>
      </c>
      <c r="G157" s="6">
        <v>287</v>
      </c>
      <c r="H157" s="5" t="s">
        <v>27</v>
      </c>
      <c r="I157" s="5" t="s">
        <v>39</v>
      </c>
      <c r="J157" s="40">
        <v>45143</v>
      </c>
      <c r="K157" s="29" t="b">
        <f t="shared" si="13"/>
        <v>0</v>
      </c>
      <c r="L157" s="29" t="str">
        <f t="shared" si="15"/>
        <v>No Discount</v>
      </c>
      <c r="M157" s="18" t="str">
        <f t="shared" si="14"/>
        <v>High Profit</v>
      </c>
    </row>
    <row r="158" spans="1:13" ht="30.75" thickBot="1" x14ac:dyDescent="0.3">
      <c r="A158" s="17" t="s">
        <v>413</v>
      </c>
      <c r="B158" s="11" t="s">
        <v>48</v>
      </c>
      <c r="C158" s="11" t="s">
        <v>158</v>
      </c>
      <c r="D158" s="25" t="str">
        <f t="shared" si="12"/>
        <v>Item _Unknown_ FUR</v>
      </c>
      <c r="E158" s="27">
        <f t="shared" si="11"/>
        <v>24.5</v>
      </c>
      <c r="F158" s="12">
        <v>4</v>
      </c>
      <c r="G158" s="12">
        <v>98</v>
      </c>
      <c r="H158" s="11" t="s">
        <v>51</v>
      </c>
      <c r="I158" s="11" t="s">
        <v>39</v>
      </c>
      <c r="J158" s="41">
        <v>44683</v>
      </c>
      <c r="K158" s="29" t="b">
        <f t="shared" si="13"/>
        <v>0</v>
      </c>
      <c r="L158" s="29" t="str">
        <f t="shared" si="15"/>
        <v>No Discount</v>
      </c>
      <c r="M158" s="18" t="str">
        <f t="shared" si="14"/>
        <v>Loss</v>
      </c>
    </row>
    <row r="159" spans="1:13" ht="30.75" thickBot="1" x14ac:dyDescent="0.3">
      <c r="A159" s="16" t="s">
        <v>415</v>
      </c>
      <c r="B159" s="5" t="s">
        <v>86</v>
      </c>
      <c r="C159" s="5" t="s">
        <v>75</v>
      </c>
      <c r="D159" s="25" t="str">
        <f t="shared" si="12"/>
        <v>Item _Unknown_ BEV</v>
      </c>
      <c r="E159" s="27">
        <f t="shared" si="11"/>
        <v>32</v>
      </c>
      <c r="F159" s="6">
        <v>6</v>
      </c>
      <c r="G159" s="6">
        <v>192</v>
      </c>
      <c r="H159" s="5" t="s">
        <v>27</v>
      </c>
      <c r="I159" s="5" t="s">
        <v>39</v>
      </c>
      <c r="J159" s="40">
        <v>44581</v>
      </c>
      <c r="K159" s="29" t="b">
        <f t="shared" si="13"/>
        <v>0</v>
      </c>
      <c r="L159" s="29" t="str">
        <f t="shared" si="15"/>
        <v>No Discount</v>
      </c>
      <c r="M159" s="18" t="str">
        <f t="shared" si="14"/>
        <v>Medium</v>
      </c>
    </row>
    <row r="160" spans="1:13" ht="15.75" thickBot="1" x14ac:dyDescent="0.3">
      <c r="A160" s="17" t="s">
        <v>418</v>
      </c>
      <c r="B160" s="11" t="s">
        <v>78</v>
      </c>
      <c r="C160" s="11" t="s">
        <v>25</v>
      </c>
      <c r="D160" s="25" t="str">
        <f t="shared" si="12"/>
        <v>Item _Unknown_ BEV</v>
      </c>
      <c r="E160" s="27">
        <f t="shared" si="11"/>
        <v>20</v>
      </c>
      <c r="F160" s="12">
        <v>4</v>
      </c>
      <c r="G160" s="12">
        <v>80</v>
      </c>
      <c r="H160" s="11" t="s">
        <v>27</v>
      </c>
      <c r="I160" s="11" t="s">
        <v>16</v>
      </c>
      <c r="J160" s="41">
        <v>45119</v>
      </c>
      <c r="K160" s="29" t="b">
        <f t="shared" si="13"/>
        <v>0</v>
      </c>
      <c r="L160" s="29" t="str">
        <f t="shared" si="15"/>
        <v>No Discount</v>
      </c>
      <c r="M160" s="18" t="str">
        <f t="shared" si="14"/>
        <v>Loss</v>
      </c>
    </row>
    <row r="161" spans="1:13" ht="15.75" thickBot="1" x14ac:dyDescent="0.3">
      <c r="A161" s="16" t="s">
        <v>419</v>
      </c>
      <c r="B161" s="5" t="s">
        <v>140</v>
      </c>
      <c r="C161" s="5" t="s">
        <v>25</v>
      </c>
      <c r="D161" s="25" t="str">
        <f t="shared" si="12"/>
        <v>Item _Unknown_ PAT</v>
      </c>
      <c r="E161" s="27">
        <f t="shared" si="11"/>
        <v>38</v>
      </c>
      <c r="F161" s="6">
        <v>6</v>
      </c>
      <c r="G161" s="6">
        <v>228</v>
      </c>
      <c r="H161" s="5" t="s">
        <v>51</v>
      </c>
      <c r="I161" s="5" t="s">
        <v>16</v>
      </c>
      <c r="J161" s="40">
        <v>45243</v>
      </c>
      <c r="K161" s="29" t="b">
        <f t="shared" si="13"/>
        <v>0</v>
      </c>
      <c r="L161" s="29" t="str">
        <f t="shared" si="15"/>
        <v>No Discount</v>
      </c>
      <c r="M161" s="18" t="str">
        <f t="shared" si="14"/>
        <v>High Profit</v>
      </c>
    </row>
    <row r="162" spans="1:13" ht="30.75" thickBot="1" x14ac:dyDescent="0.3">
      <c r="A162" s="17" t="s">
        <v>421</v>
      </c>
      <c r="B162" s="11" t="s">
        <v>99</v>
      </c>
      <c r="C162" s="11" t="s">
        <v>158</v>
      </c>
      <c r="D162" s="25" t="str">
        <f t="shared" si="12"/>
        <v>Item _Unknown_ COM</v>
      </c>
      <c r="E162" s="27">
        <f t="shared" si="11"/>
        <v>30.5</v>
      </c>
      <c r="F162" s="12">
        <v>3</v>
      </c>
      <c r="G162" s="12">
        <v>91.5</v>
      </c>
      <c r="H162" s="11" t="s">
        <v>51</v>
      </c>
      <c r="I162" s="11" t="s">
        <v>16</v>
      </c>
      <c r="J162" s="41">
        <v>45346</v>
      </c>
      <c r="K162" s="29" t="b">
        <f t="shared" si="13"/>
        <v>0</v>
      </c>
      <c r="L162" s="29" t="str">
        <f t="shared" si="15"/>
        <v>No Discount</v>
      </c>
      <c r="M162" s="18" t="str">
        <f t="shared" si="14"/>
        <v>Medium</v>
      </c>
    </row>
    <row r="163" spans="1:13" ht="15.75" thickBot="1" x14ac:dyDescent="0.3">
      <c r="A163" s="16" t="s">
        <v>424</v>
      </c>
      <c r="B163" s="5" t="s">
        <v>74</v>
      </c>
      <c r="C163" s="5" t="s">
        <v>13</v>
      </c>
      <c r="D163" s="25" t="str">
        <f t="shared" si="12"/>
        <v>Item _Unknown_ ELE</v>
      </c>
      <c r="E163" s="27">
        <f t="shared" si="11"/>
        <v>20</v>
      </c>
      <c r="F163" s="6">
        <v>7</v>
      </c>
      <c r="G163" s="6">
        <v>140</v>
      </c>
      <c r="H163" s="5" t="s">
        <v>51</v>
      </c>
      <c r="I163" s="5" t="s">
        <v>39</v>
      </c>
      <c r="J163" s="40">
        <v>45103</v>
      </c>
      <c r="K163" s="29" t="b">
        <f t="shared" si="13"/>
        <v>0</v>
      </c>
      <c r="L163" s="29" t="str">
        <f t="shared" si="15"/>
        <v>No Discount</v>
      </c>
      <c r="M163" s="18" t="str">
        <f t="shared" si="14"/>
        <v>Loss</v>
      </c>
    </row>
    <row r="164" spans="1:13" ht="15.75" thickBot="1" x14ac:dyDescent="0.3">
      <c r="A164" s="17" t="s">
        <v>426</v>
      </c>
      <c r="B164" s="11" t="s">
        <v>206</v>
      </c>
      <c r="C164" s="11" t="s">
        <v>20</v>
      </c>
      <c r="D164" s="25" t="str">
        <f t="shared" si="12"/>
        <v>Item _Unknown_ BEV</v>
      </c>
      <c r="E164" s="27">
        <f t="shared" si="11"/>
        <v>15.5</v>
      </c>
      <c r="F164" s="12">
        <v>6</v>
      </c>
      <c r="G164" s="12">
        <v>93</v>
      </c>
      <c r="H164" s="11" t="s">
        <v>27</v>
      </c>
      <c r="I164" s="11" t="s">
        <v>16</v>
      </c>
      <c r="J164" s="41">
        <v>44727</v>
      </c>
      <c r="K164" s="29" t="b">
        <f t="shared" si="13"/>
        <v>0</v>
      </c>
      <c r="L164" s="29" t="str">
        <f t="shared" si="15"/>
        <v>No Discount</v>
      </c>
      <c r="M164" s="18" t="str">
        <f t="shared" si="14"/>
        <v>Loss</v>
      </c>
    </row>
    <row r="165" spans="1:13" ht="15.75" thickBot="1" x14ac:dyDescent="0.3">
      <c r="A165" s="16" t="s">
        <v>428</v>
      </c>
      <c r="B165" s="5" t="s">
        <v>117</v>
      </c>
      <c r="C165" s="5" t="s">
        <v>13</v>
      </c>
      <c r="D165" s="25" t="str">
        <f t="shared" si="12"/>
        <v>Item _Unknown_ BEV</v>
      </c>
      <c r="E165" s="27">
        <f t="shared" si="11"/>
        <v>27.5</v>
      </c>
      <c r="F165" s="6">
        <v>2</v>
      </c>
      <c r="G165" s="6">
        <v>55</v>
      </c>
      <c r="H165" s="5" t="s">
        <v>15</v>
      </c>
      <c r="I165" s="5" t="s">
        <v>16</v>
      </c>
      <c r="J165" s="40">
        <v>44711</v>
      </c>
      <c r="K165" s="29" t="b">
        <f t="shared" si="13"/>
        <v>0</v>
      </c>
      <c r="L165" s="29" t="str">
        <f t="shared" si="15"/>
        <v>No Discount</v>
      </c>
      <c r="M165" s="18" t="str">
        <f t="shared" si="14"/>
        <v>Medium</v>
      </c>
    </row>
    <row r="166" spans="1:13" ht="15.75" thickBot="1" x14ac:dyDescent="0.3">
      <c r="A166" s="17" t="s">
        <v>430</v>
      </c>
      <c r="B166" s="11" t="s">
        <v>140</v>
      </c>
      <c r="C166" s="11" t="s">
        <v>30</v>
      </c>
      <c r="D166" s="25" t="str">
        <f t="shared" si="12"/>
        <v>Item _Unknown_ COM</v>
      </c>
      <c r="E166" s="27">
        <f t="shared" si="11"/>
        <v>33.5</v>
      </c>
      <c r="F166" s="12">
        <v>10</v>
      </c>
      <c r="G166" s="12">
        <v>335</v>
      </c>
      <c r="H166" s="11" t="s">
        <v>15</v>
      </c>
      <c r="I166" s="11" t="s">
        <v>16</v>
      </c>
      <c r="J166" s="41">
        <v>45441</v>
      </c>
      <c r="K166" s="29" t="b">
        <f t="shared" si="13"/>
        <v>0</v>
      </c>
      <c r="L166" s="29" t="str">
        <f t="shared" si="15"/>
        <v>No Discount</v>
      </c>
      <c r="M166" s="18" t="str">
        <f t="shared" si="14"/>
        <v>Medium</v>
      </c>
    </row>
    <row r="167" spans="1:13" ht="15.75" thickBot="1" x14ac:dyDescent="0.3">
      <c r="A167" s="16" t="s">
        <v>432</v>
      </c>
      <c r="B167" s="5" t="s">
        <v>12</v>
      </c>
      <c r="C167" s="5" t="s">
        <v>20</v>
      </c>
      <c r="D167" s="25" t="str">
        <f t="shared" si="12"/>
        <v>Item _Unknown_ PAT</v>
      </c>
      <c r="E167" s="27">
        <f t="shared" si="11"/>
        <v>5</v>
      </c>
      <c r="F167" s="6">
        <v>7</v>
      </c>
      <c r="G167" s="6">
        <v>35</v>
      </c>
      <c r="H167" s="5" t="s">
        <v>15</v>
      </c>
      <c r="I167" s="5" t="s">
        <v>16</v>
      </c>
      <c r="J167" s="40">
        <v>45644</v>
      </c>
      <c r="K167" s="29" t="b">
        <f t="shared" si="13"/>
        <v>0</v>
      </c>
      <c r="L167" s="29" t="str">
        <f t="shared" si="15"/>
        <v>No Discount</v>
      </c>
      <c r="M167" s="18" t="str">
        <f t="shared" si="14"/>
        <v>Loss</v>
      </c>
    </row>
    <row r="168" spans="1:13" ht="15.75" thickBot="1" x14ac:dyDescent="0.3">
      <c r="A168" s="17" t="s">
        <v>434</v>
      </c>
      <c r="B168" s="11" t="s">
        <v>19</v>
      </c>
      <c r="C168" s="11" t="s">
        <v>42</v>
      </c>
      <c r="D168" s="25" t="str">
        <f t="shared" si="12"/>
        <v>Item _Unknown_ MIL</v>
      </c>
      <c r="E168" s="27">
        <f t="shared" si="11"/>
        <v>41</v>
      </c>
      <c r="F168" s="12">
        <v>2</v>
      </c>
      <c r="G168" s="12">
        <v>82</v>
      </c>
      <c r="H168" s="11" t="s">
        <v>27</v>
      </c>
      <c r="I168" s="11" t="s">
        <v>16</v>
      </c>
      <c r="J168" s="41">
        <v>44574</v>
      </c>
      <c r="K168" s="29" t="b">
        <f t="shared" si="13"/>
        <v>0</v>
      </c>
      <c r="L168" s="29" t="str">
        <f t="shared" si="15"/>
        <v>No Discount</v>
      </c>
      <c r="M168" s="18" t="str">
        <f t="shared" si="14"/>
        <v>High Profit</v>
      </c>
    </row>
    <row r="169" spans="1:13" ht="30.75" thickBot="1" x14ac:dyDescent="0.3">
      <c r="A169" s="17" t="s">
        <v>438</v>
      </c>
      <c r="B169" s="11" t="s">
        <v>37</v>
      </c>
      <c r="C169" s="11" t="s">
        <v>158</v>
      </c>
      <c r="D169" s="25" t="str">
        <f>"Item _Unknown_ "&amp;UPPER(LEFT(C166,3))</f>
        <v>Item _Unknown_ FOO</v>
      </c>
      <c r="E169" s="27">
        <f t="shared" si="11"/>
        <v>20</v>
      </c>
      <c r="F169" s="12">
        <v>9</v>
      </c>
      <c r="G169" s="12">
        <v>180</v>
      </c>
      <c r="H169" s="11" t="s">
        <v>15</v>
      </c>
      <c r="I169" s="11" t="s">
        <v>39</v>
      </c>
      <c r="J169" s="41">
        <v>44932</v>
      </c>
      <c r="K169" s="29" t="b">
        <f t="shared" si="13"/>
        <v>0</v>
      </c>
      <c r="L169" s="29" t="str">
        <f t="shared" si="15"/>
        <v>No Discount</v>
      </c>
      <c r="M169" s="18" t="str">
        <f t="shared" si="14"/>
        <v>Loss</v>
      </c>
    </row>
    <row r="170" spans="1:13" ht="15.75" thickBot="1" x14ac:dyDescent="0.3">
      <c r="A170" s="16" t="s">
        <v>440</v>
      </c>
      <c r="B170" s="5" t="s">
        <v>71</v>
      </c>
      <c r="C170" s="5" t="s">
        <v>42</v>
      </c>
      <c r="D170" s="25" t="str">
        <f>"Item _Unknown_ "&amp;UPPER(LEFT(C167,3))</f>
        <v>Item _Unknown_ MIL</v>
      </c>
      <c r="E170" s="27">
        <f t="shared" si="11"/>
        <v>11</v>
      </c>
      <c r="F170" s="6">
        <v>8</v>
      </c>
      <c r="G170" s="6">
        <v>88</v>
      </c>
      <c r="H170" s="5" t="s">
        <v>15</v>
      </c>
      <c r="I170" s="5" t="s">
        <v>16</v>
      </c>
      <c r="J170" s="40">
        <v>44597</v>
      </c>
      <c r="K170" s="29" t="b">
        <f t="shared" si="13"/>
        <v>0</v>
      </c>
      <c r="L170" s="29" t="str">
        <f t="shared" si="15"/>
        <v>No Discount</v>
      </c>
      <c r="M170" s="18" t="str">
        <f t="shared" si="14"/>
        <v>Loss</v>
      </c>
    </row>
    <row r="171" spans="1:13" ht="15.75" thickBot="1" x14ac:dyDescent="0.3">
      <c r="A171" s="16" t="s">
        <v>443</v>
      </c>
      <c r="B171" s="5" t="s">
        <v>37</v>
      </c>
      <c r="C171" s="5" t="s">
        <v>20</v>
      </c>
      <c r="D171" s="25" t="str">
        <f>"Item _Unknown_ "&amp;UPPER(LEFT(C162,3))</f>
        <v>Item _Unknown_ COM</v>
      </c>
      <c r="E171" s="27">
        <f t="shared" si="11"/>
        <v>27.5</v>
      </c>
      <c r="F171" s="6">
        <v>7</v>
      </c>
      <c r="G171" s="6">
        <v>192.5</v>
      </c>
      <c r="H171" s="5" t="s">
        <v>15</v>
      </c>
      <c r="I171" s="5" t="s">
        <v>39</v>
      </c>
      <c r="J171" s="40">
        <v>44858</v>
      </c>
      <c r="K171" s="29" t="b">
        <f t="shared" si="13"/>
        <v>0</v>
      </c>
      <c r="L171" s="29" t="str">
        <f t="shared" si="15"/>
        <v>No Discount</v>
      </c>
      <c r="M171" s="18" t="str">
        <f t="shared" si="14"/>
        <v>Medium</v>
      </c>
    </row>
    <row r="172" spans="1:13" ht="15.75" thickBot="1" x14ac:dyDescent="0.3">
      <c r="A172" s="17" t="s">
        <v>445</v>
      </c>
      <c r="B172" s="11" t="s">
        <v>37</v>
      </c>
      <c r="C172" s="11" t="s">
        <v>20</v>
      </c>
      <c r="D172" s="25" t="str">
        <f>"Item _Unknown_ "&amp;UPPER(LEFT(C169,3))</f>
        <v>Item _Unknown_ COM</v>
      </c>
      <c r="E172" s="27">
        <f t="shared" si="11"/>
        <v>8</v>
      </c>
      <c r="F172" s="12">
        <v>5</v>
      </c>
      <c r="G172" s="12">
        <v>40</v>
      </c>
      <c r="H172" s="11" t="s">
        <v>51</v>
      </c>
      <c r="I172" s="11" t="s">
        <v>39</v>
      </c>
      <c r="J172" s="41">
        <v>45263</v>
      </c>
      <c r="K172" s="29" t="b">
        <f t="shared" si="13"/>
        <v>0</v>
      </c>
      <c r="L172" s="29" t="str">
        <f t="shared" si="15"/>
        <v>No Discount</v>
      </c>
      <c r="M172" s="18" t="str">
        <f t="shared" si="14"/>
        <v>Loss</v>
      </c>
    </row>
    <row r="173" spans="1:13" ht="15.75" thickBot="1" x14ac:dyDescent="0.3">
      <c r="A173" s="16" t="s">
        <v>446</v>
      </c>
      <c r="B173" s="5" t="s">
        <v>117</v>
      </c>
      <c r="C173" s="5" t="s">
        <v>49</v>
      </c>
      <c r="D173" s="25" t="str">
        <f>"Item _Unknown_ "&amp;UPPER(LEFT(C170,3))</f>
        <v>Item _Unknown_ FUR</v>
      </c>
      <c r="E173" s="27">
        <f t="shared" si="11"/>
        <v>33.5</v>
      </c>
      <c r="F173" s="6">
        <v>5</v>
      </c>
      <c r="G173" s="6">
        <v>167.5</v>
      </c>
      <c r="H173" s="5" t="s">
        <v>15</v>
      </c>
      <c r="I173" s="5" t="s">
        <v>16</v>
      </c>
      <c r="J173" s="40">
        <v>44765</v>
      </c>
      <c r="K173" s="29" t="b">
        <f t="shared" si="13"/>
        <v>0</v>
      </c>
      <c r="L173" s="29" t="str">
        <f t="shared" si="15"/>
        <v>No Discount</v>
      </c>
      <c r="M173" s="18" t="str">
        <f t="shared" si="14"/>
        <v>Medium</v>
      </c>
    </row>
    <row r="174" spans="1:13" ht="15.75" thickBot="1" x14ac:dyDescent="0.3">
      <c r="A174" s="17" t="s">
        <v>448</v>
      </c>
      <c r="B174" s="11" t="s">
        <v>12</v>
      </c>
      <c r="C174" s="11" t="s">
        <v>42</v>
      </c>
      <c r="D174" s="25" t="str">
        <f>"Item _Unknown_ "&amp;UPPER(LEFT(C165,3))</f>
        <v>Item _Unknown_ PAT</v>
      </c>
      <c r="E174" s="27">
        <f t="shared" si="11"/>
        <v>29</v>
      </c>
      <c r="F174" s="12">
        <v>9</v>
      </c>
      <c r="G174" s="12">
        <v>261</v>
      </c>
      <c r="H174" s="11" t="s">
        <v>51</v>
      </c>
      <c r="I174" s="11" t="s">
        <v>16</v>
      </c>
      <c r="J174" s="41">
        <v>45145</v>
      </c>
      <c r="K174" s="29" t="b">
        <f t="shared" si="13"/>
        <v>0</v>
      </c>
      <c r="L174" s="29" t="str">
        <f t="shared" si="15"/>
        <v>No Discount</v>
      </c>
      <c r="M174" s="18" t="str">
        <f t="shared" si="14"/>
        <v>Medium</v>
      </c>
    </row>
    <row r="175" spans="1:13" ht="15.75" thickBot="1" x14ac:dyDescent="0.3">
      <c r="A175" s="16" t="s">
        <v>450</v>
      </c>
      <c r="B175" s="5" t="s">
        <v>90</v>
      </c>
      <c r="C175" s="5" t="s">
        <v>20</v>
      </c>
      <c r="D175" s="25" t="str">
        <f t="shared" si="12"/>
        <v>Item _Unknown_ MIL</v>
      </c>
      <c r="E175" s="27">
        <f t="shared" si="11"/>
        <v>26</v>
      </c>
      <c r="F175" s="6">
        <v>8</v>
      </c>
      <c r="G175" s="6">
        <v>208</v>
      </c>
      <c r="H175" s="5" t="s">
        <v>51</v>
      </c>
      <c r="I175" s="5" t="s">
        <v>39</v>
      </c>
      <c r="J175" s="40">
        <v>44962</v>
      </c>
      <c r="K175" s="29" t="b">
        <f t="shared" si="13"/>
        <v>0</v>
      </c>
      <c r="L175" s="29" t="str">
        <f t="shared" si="15"/>
        <v>No Discount</v>
      </c>
      <c r="M175" s="18" t="str">
        <f t="shared" si="14"/>
        <v>Medium</v>
      </c>
    </row>
    <row r="176" spans="1:13" ht="30.75" thickBot="1" x14ac:dyDescent="0.3">
      <c r="A176" s="17" t="s">
        <v>452</v>
      </c>
      <c r="B176" s="11" t="s">
        <v>86</v>
      </c>
      <c r="C176" s="11" t="s">
        <v>75</v>
      </c>
      <c r="D176" s="25" t="str">
        <f t="shared" si="12"/>
        <v>Item _Unknown_ MIL</v>
      </c>
      <c r="E176" s="27">
        <f t="shared" si="11"/>
        <v>33.5</v>
      </c>
      <c r="F176" s="12">
        <v>3</v>
      </c>
      <c r="G176" s="12">
        <v>100.5</v>
      </c>
      <c r="H176" s="11" t="s">
        <v>15</v>
      </c>
      <c r="I176" s="11" t="s">
        <v>16</v>
      </c>
      <c r="J176" s="41">
        <v>44924</v>
      </c>
      <c r="K176" s="29" t="b">
        <f t="shared" si="13"/>
        <v>0</v>
      </c>
      <c r="L176" s="29" t="str">
        <f t="shared" si="15"/>
        <v>No Discount</v>
      </c>
      <c r="M176" s="18" t="str">
        <f t="shared" si="14"/>
        <v>Medium</v>
      </c>
    </row>
    <row r="177" spans="1:13" ht="15.75" thickBot="1" x14ac:dyDescent="0.3">
      <c r="A177" s="16" t="s">
        <v>454</v>
      </c>
      <c r="B177" s="5" t="s">
        <v>149</v>
      </c>
      <c r="C177" s="5" t="s">
        <v>30</v>
      </c>
      <c r="D177" s="25" t="str">
        <f t="shared" si="12"/>
        <v>Item _Unknown_ BUT</v>
      </c>
      <c r="E177" s="27">
        <f t="shared" si="11"/>
        <v>33.5</v>
      </c>
      <c r="F177" s="6">
        <v>5</v>
      </c>
      <c r="G177" s="6">
        <v>167.5</v>
      </c>
      <c r="H177" s="5" t="s">
        <v>27</v>
      </c>
      <c r="I177" s="5" t="s">
        <v>16</v>
      </c>
      <c r="J177" s="40">
        <v>45034</v>
      </c>
      <c r="K177" s="29" t="b">
        <f t="shared" si="13"/>
        <v>0</v>
      </c>
      <c r="L177" s="29" t="str">
        <f t="shared" si="15"/>
        <v>No Discount</v>
      </c>
      <c r="M177" s="18" t="str">
        <f t="shared" si="14"/>
        <v>Medium</v>
      </c>
    </row>
    <row r="178" spans="1:13" ht="30.75" thickBot="1" x14ac:dyDescent="0.3">
      <c r="A178" s="17" t="s">
        <v>455</v>
      </c>
      <c r="B178" s="11" t="s">
        <v>130</v>
      </c>
      <c r="C178" s="11" t="s">
        <v>75</v>
      </c>
      <c r="D178" s="25" t="str">
        <f t="shared" si="12"/>
        <v>Item _Unknown_ FUR</v>
      </c>
      <c r="E178" s="27">
        <f t="shared" si="11"/>
        <v>27.5</v>
      </c>
      <c r="F178" s="12">
        <v>10</v>
      </c>
      <c r="G178" s="12">
        <v>275</v>
      </c>
      <c r="H178" s="11" t="s">
        <v>51</v>
      </c>
      <c r="I178" s="11" t="s">
        <v>16</v>
      </c>
      <c r="J178" s="41">
        <v>44831</v>
      </c>
      <c r="K178" s="29" t="b">
        <f t="shared" si="13"/>
        <v>0</v>
      </c>
      <c r="L178" s="29" t="str">
        <f t="shared" si="15"/>
        <v>No Discount</v>
      </c>
      <c r="M178" s="18" t="str">
        <f t="shared" si="14"/>
        <v>Medium</v>
      </c>
    </row>
    <row r="179" spans="1:13" ht="30.75" thickBot="1" x14ac:dyDescent="0.3">
      <c r="A179" s="16" t="s">
        <v>457</v>
      </c>
      <c r="B179" s="5" t="s">
        <v>94</v>
      </c>
      <c r="C179" s="5" t="s">
        <v>158</v>
      </c>
      <c r="D179" s="25" t="str">
        <f t="shared" si="12"/>
        <v>Item _Unknown_ MIL</v>
      </c>
      <c r="E179" s="27">
        <f t="shared" si="11"/>
        <v>33.5</v>
      </c>
      <c r="F179" s="6">
        <v>4</v>
      </c>
      <c r="G179" s="6">
        <v>134</v>
      </c>
      <c r="H179" s="5" t="s">
        <v>15</v>
      </c>
      <c r="I179" s="5" t="s">
        <v>16</v>
      </c>
      <c r="J179" s="40">
        <v>45080</v>
      </c>
      <c r="K179" s="29" t="b">
        <f t="shared" si="13"/>
        <v>0</v>
      </c>
      <c r="L179" s="29" t="str">
        <f t="shared" si="15"/>
        <v>No Discount</v>
      </c>
      <c r="M179" s="18" t="str">
        <f t="shared" si="14"/>
        <v>Medium</v>
      </c>
    </row>
    <row r="180" spans="1:13" ht="30.75" thickBot="1" x14ac:dyDescent="0.3">
      <c r="A180" s="17" t="s">
        <v>458</v>
      </c>
      <c r="B180" s="11" t="s">
        <v>140</v>
      </c>
      <c r="C180" s="11" t="s">
        <v>75</v>
      </c>
      <c r="D180" s="25" t="str">
        <f t="shared" si="12"/>
        <v>Item _Unknown_ ELE</v>
      </c>
      <c r="E180" s="27">
        <f t="shared" si="11"/>
        <v>38</v>
      </c>
      <c r="F180" s="12">
        <v>1</v>
      </c>
      <c r="G180" s="12">
        <v>38</v>
      </c>
      <c r="H180" s="11" t="s">
        <v>51</v>
      </c>
      <c r="I180" s="11" t="s">
        <v>39</v>
      </c>
      <c r="J180" s="41">
        <v>44641</v>
      </c>
      <c r="K180" s="29" t="b">
        <f t="shared" si="13"/>
        <v>0</v>
      </c>
      <c r="L180" s="29" t="str">
        <f t="shared" si="15"/>
        <v>No Discount</v>
      </c>
      <c r="M180" s="18" t="str">
        <f t="shared" si="14"/>
        <v>High Profit</v>
      </c>
    </row>
    <row r="181" spans="1:13" ht="15.75" thickBot="1" x14ac:dyDescent="0.3">
      <c r="A181" s="16" t="s">
        <v>461</v>
      </c>
      <c r="B181" s="5" t="s">
        <v>41</v>
      </c>
      <c r="C181" s="5" t="s">
        <v>20</v>
      </c>
      <c r="D181" s="25" t="str">
        <f t="shared" si="12"/>
        <v>Item _Unknown_ FOO</v>
      </c>
      <c r="E181" s="27">
        <f t="shared" si="11"/>
        <v>9.5</v>
      </c>
      <c r="F181" s="6">
        <v>1</v>
      </c>
      <c r="G181" s="6">
        <v>9.5</v>
      </c>
      <c r="H181" s="5" t="s">
        <v>15</v>
      </c>
      <c r="I181" s="5" t="s">
        <v>16</v>
      </c>
      <c r="J181" s="40">
        <v>45279</v>
      </c>
      <c r="K181" s="29" t="b">
        <f t="shared" si="13"/>
        <v>0</v>
      </c>
      <c r="L181" s="29" t="str">
        <f t="shared" si="15"/>
        <v>No Discount</v>
      </c>
      <c r="M181" s="18" t="str">
        <f t="shared" si="14"/>
        <v>Loss</v>
      </c>
    </row>
    <row r="182" spans="1:13" ht="15.75" thickBot="1" x14ac:dyDescent="0.3">
      <c r="A182" s="17" t="s">
        <v>463</v>
      </c>
      <c r="B182" s="11" t="s">
        <v>78</v>
      </c>
      <c r="C182" s="11" t="s">
        <v>49</v>
      </c>
      <c r="D182" s="25" t="str">
        <f t="shared" si="12"/>
        <v>Item _Unknown_ ELE</v>
      </c>
      <c r="E182" s="27">
        <f t="shared" si="11"/>
        <v>14</v>
      </c>
      <c r="F182" s="12">
        <v>3</v>
      </c>
      <c r="G182" s="12">
        <v>42</v>
      </c>
      <c r="H182" s="11" t="s">
        <v>51</v>
      </c>
      <c r="I182" s="11" t="s">
        <v>16</v>
      </c>
      <c r="J182" s="41">
        <v>45004</v>
      </c>
      <c r="K182" s="29" t="b">
        <f t="shared" si="13"/>
        <v>0</v>
      </c>
      <c r="L182" s="29" t="str">
        <f t="shared" si="15"/>
        <v>No Discount</v>
      </c>
      <c r="M182" s="18" t="str">
        <f t="shared" si="14"/>
        <v>Loss</v>
      </c>
    </row>
    <row r="183" spans="1:13" ht="30.75" thickBot="1" x14ac:dyDescent="0.3">
      <c r="A183" s="16" t="s">
        <v>466</v>
      </c>
      <c r="B183" s="5" t="s">
        <v>41</v>
      </c>
      <c r="C183" s="5" t="s">
        <v>158</v>
      </c>
      <c r="D183" s="25" t="str">
        <f t="shared" si="12"/>
        <v>Item _Unknown_ COM</v>
      </c>
      <c r="E183" s="27">
        <f t="shared" si="11"/>
        <v>27.5</v>
      </c>
      <c r="F183" s="6">
        <v>9</v>
      </c>
      <c r="G183" s="6">
        <v>247.5</v>
      </c>
      <c r="H183" s="5" t="s">
        <v>15</v>
      </c>
      <c r="I183" s="5" t="s">
        <v>39</v>
      </c>
      <c r="J183" s="40">
        <v>45285</v>
      </c>
      <c r="K183" s="29" t="b">
        <f t="shared" si="13"/>
        <v>0</v>
      </c>
      <c r="L183" s="29" t="str">
        <f t="shared" si="15"/>
        <v>No Discount</v>
      </c>
      <c r="M183" s="18" t="str">
        <f t="shared" si="14"/>
        <v>Medium</v>
      </c>
    </row>
    <row r="184" spans="1:13" ht="30.75" thickBot="1" x14ac:dyDescent="0.3">
      <c r="A184" s="17" t="s">
        <v>467</v>
      </c>
      <c r="B184" s="11" t="s">
        <v>48</v>
      </c>
      <c r="C184" s="11" t="s">
        <v>75</v>
      </c>
      <c r="D184" s="25" t="str">
        <f t="shared" si="12"/>
        <v>Item _Unknown_ ELE</v>
      </c>
      <c r="E184" s="27">
        <f t="shared" si="11"/>
        <v>5</v>
      </c>
      <c r="F184" s="12">
        <v>2</v>
      </c>
      <c r="G184" s="12">
        <v>10</v>
      </c>
      <c r="H184" s="11" t="s">
        <v>51</v>
      </c>
      <c r="I184" s="11" t="s">
        <v>16</v>
      </c>
      <c r="J184" s="41">
        <v>45087</v>
      </c>
      <c r="K184" s="29" t="b">
        <f t="shared" si="13"/>
        <v>0</v>
      </c>
      <c r="L184" s="29" t="str">
        <f t="shared" si="15"/>
        <v>No Discount</v>
      </c>
      <c r="M184" s="18" t="str">
        <f t="shared" si="14"/>
        <v>Loss</v>
      </c>
    </row>
    <row r="185" spans="1:13" ht="15.75" thickBot="1" x14ac:dyDescent="0.3">
      <c r="A185" s="16" t="s">
        <v>469</v>
      </c>
      <c r="B185" s="5" t="s">
        <v>94</v>
      </c>
      <c r="C185" s="5" t="s">
        <v>49</v>
      </c>
      <c r="D185" s="25" t="str">
        <f t="shared" si="12"/>
        <v>Item _Unknown_ MIL</v>
      </c>
      <c r="E185" s="27">
        <f t="shared" ref="E185:E244" si="17">G185/F185</f>
        <v>23</v>
      </c>
      <c r="F185" s="6">
        <v>6</v>
      </c>
      <c r="G185" s="6">
        <v>138</v>
      </c>
      <c r="H185" s="5" t="s">
        <v>51</v>
      </c>
      <c r="I185" s="5" t="s">
        <v>39</v>
      </c>
      <c r="J185" s="40">
        <v>44814</v>
      </c>
      <c r="K185" s="29" t="b">
        <f t="shared" si="13"/>
        <v>0</v>
      </c>
      <c r="L185" s="29" t="str">
        <f t="shared" si="15"/>
        <v>No Discount</v>
      </c>
      <c r="M185" s="18" t="str">
        <f t="shared" si="14"/>
        <v>Loss</v>
      </c>
    </row>
    <row r="186" spans="1:13" ht="30.75" thickBot="1" x14ac:dyDescent="0.3">
      <c r="A186" s="17" t="s">
        <v>470</v>
      </c>
      <c r="B186" s="11" t="s">
        <v>19</v>
      </c>
      <c r="C186" s="11" t="s">
        <v>158</v>
      </c>
      <c r="D186" s="25" t="str">
        <f t="shared" si="12"/>
        <v>Item _Unknown_ BUT</v>
      </c>
      <c r="E186" s="27">
        <f t="shared" si="17"/>
        <v>32</v>
      </c>
      <c r="F186" s="12">
        <v>9</v>
      </c>
      <c r="G186" s="12">
        <v>288</v>
      </c>
      <c r="H186" s="11" t="s">
        <v>51</v>
      </c>
      <c r="I186" s="11" t="s">
        <v>16</v>
      </c>
      <c r="J186" s="41">
        <v>44718</v>
      </c>
      <c r="K186" s="29" t="b">
        <f t="shared" si="13"/>
        <v>0</v>
      </c>
      <c r="L186" s="29" t="str">
        <f t="shared" si="15"/>
        <v>No Discount</v>
      </c>
      <c r="M186" s="18" t="str">
        <f t="shared" si="14"/>
        <v>Medium</v>
      </c>
    </row>
    <row r="187" spans="1:13" ht="15.75" thickBot="1" x14ac:dyDescent="0.3">
      <c r="A187" s="16" t="s">
        <v>472</v>
      </c>
      <c r="B187" s="5" t="s">
        <v>90</v>
      </c>
      <c r="C187" s="5" t="s">
        <v>49</v>
      </c>
      <c r="D187" s="25" t="str">
        <f t="shared" ref="D187:D243" si="18">"Item _Unknown_ "&amp;UPPER(LEFT(C183,3))</f>
        <v>Item _Unknown_ COM</v>
      </c>
      <c r="E187" s="27">
        <f t="shared" si="17"/>
        <v>33.5</v>
      </c>
      <c r="F187" s="6">
        <v>5</v>
      </c>
      <c r="G187" s="6">
        <v>167.5</v>
      </c>
      <c r="H187" s="5" t="s">
        <v>15</v>
      </c>
      <c r="I187" s="5" t="s">
        <v>39</v>
      </c>
      <c r="J187" s="40">
        <v>45515</v>
      </c>
      <c r="K187" s="29" t="b">
        <f t="shared" si="13"/>
        <v>0</v>
      </c>
      <c r="L187" s="29" t="str">
        <f t="shared" si="15"/>
        <v>No Discount</v>
      </c>
      <c r="M187" s="18" t="str">
        <f t="shared" si="14"/>
        <v>Medium</v>
      </c>
    </row>
    <row r="188" spans="1:13" ht="30.75" thickBot="1" x14ac:dyDescent="0.3">
      <c r="A188" s="17" t="s">
        <v>473</v>
      </c>
      <c r="B188" s="11" t="s">
        <v>74</v>
      </c>
      <c r="C188" s="11" t="s">
        <v>158</v>
      </c>
      <c r="D188" s="25" t="str">
        <f t="shared" si="18"/>
        <v>Item _Unknown_ ELE</v>
      </c>
      <c r="E188" s="27">
        <f t="shared" si="17"/>
        <v>20</v>
      </c>
      <c r="F188" s="12">
        <v>3</v>
      </c>
      <c r="G188" s="12">
        <v>60</v>
      </c>
      <c r="H188" s="11" t="s">
        <v>51</v>
      </c>
      <c r="I188" s="11" t="s">
        <v>16</v>
      </c>
      <c r="J188" s="41">
        <v>45124</v>
      </c>
      <c r="K188" s="29" t="b">
        <f t="shared" si="13"/>
        <v>0</v>
      </c>
      <c r="L188" s="29" t="str">
        <f t="shared" si="15"/>
        <v>No Discount</v>
      </c>
      <c r="M188" s="18" t="str">
        <f t="shared" si="14"/>
        <v>Loss</v>
      </c>
    </row>
    <row r="189" spans="1:13" ht="15.75" thickBot="1" x14ac:dyDescent="0.3">
      <c r="A189" s="16" t="s">
        <v>475</v>
      </c>
      <c r="B189" s="5" t="s">
        <v>117</v>
      </c>
      <c r="C189" s="5" t="s">
        <v>30</v>
      </c>
      <c r="D189" s="25" t="str">
        <f t="shared" si="18"/>
        <v>Item _Unknown_ BUT</v>
      </c>
      <c r="E189" s="27">
        <f t="shared" si="17"/>
        <v>41</v>
      </c>
      <c r="F189" s="6">
        <v>3</v>
      </c>
      <c r="G189" s="6">
        <v>123</v>
      </c>
      <c r="H189" s="5" t="s">
        <v>15</v>
      </c>
      <c r="I189" s="5" t="s">
        <v>39</v>
      </c>
      <c r="J189" s="40">
        <v>45036</v>
      </c>
      <c r="K189" s="29" t="b">
        <f t="shared" si="13"/>
        <v>0</v>
      </c>
      <c r="L189" s="29" t="str">
        <f t="shared" si="15"/>
        <v>No Discount</v>
      </c>
      <c r="M189" s="18" t="str">
        <f t="shared" si="14"/>
        <v>High Profit</v>
      </c>
    </row>
    <row r="190" spans="1:13" ht="30.75" thickBot="1" x14ac:dyDescent="0.3">
      <c r="A190" s="17" t="s">
        <v>478</v>
      </c>
      <c r="B190" s="11" t="s">
        <v>120</v>
      </c>
      <c r="C190" s="11" t="s">
        <v>75</v>
      </c>
      <c r="D190" s="25" t="str">
        <f t="shared" si="18"/>
        <v>Item _Unknown_ COM</v>
      </c>
      <c r="E190" s="27">
        <f t="shared" si="17"/>
        <v>21.5</v>
      </c>
      <c r="F190" s="12">
        <v>2</v>
      </c>
      <c r="G190" s="12">
        <v>43</v>
      </c>
      <c r="H190" s="11" t="s">
        <v>15</v>
      </c>
      <c r="I190" s="11" t="s">
        <v>39</v>
      </c>
      <c r="J190" s="41">
        <v>45178</v>
      </c>
      <c r="K190" s="29" t="b">
        <f t="shared" si="13"/>
        <v>0</v>
      </c>
      <c r="L190" s="29" t="str">
        <f t="shared" si="15"/>
        <v>No Discount</v>
      </c>
      <c r="M190" s="18" t="str">
        <f t="shared" si="14"/>
        <v>Loss</v>
      </c>
    </row>
    <row r="191" spans="1:13" ht="30.75" thickBot="1" x14ac:dyDescent="0.3">
      <c r="A191" s="16" t="s">
        <v>480</v>
      </c>
      <c r="B191" s="5" t="s">
        <v>206</v>
      </c>
      <c r="C191" s="5" t="s">
        <v>75</v>
      </c>
      <c r="D191" s="25" t="str">
        <f t="shared" si="18"/>
        <v>Item _Unknown_ BUT</v>
      </c>
      <c r="E191" s="27">
        <f t="shared" si="17"/>
        <v>36.5</v>
      </c>
      <c r="F191" s="6">
        <v>2</v>
      </c>
      <c r="G191" s="6">
        <v>73</v>
      </c>
      <c r="H191" s="5" t="s">
        <v>15</v>
      </c>
      <c r="I191" s="5" t="s">
        <v>39</v>
      </c>
      <c r="J191" s="40">
        <v>45488</v>
      </c>
      <c r="K191" s="29" t="b">
        <f t="shared" si="13"/>
        <v>0</v>
      </c>
      <c r="L191" s="29" t="str">
        <f t="shared" si="15"/>
        <v>No Discount</v>
      </c>
      <c r="M191" s="18" t="str">
        <f t="shared" si="14"/>
        <v>High Profit</v>
      </c>
    </row>
    <row r="192" spans="1:13" ht="15.75" thickBot="1" x14ac:dyDescent="0.3">
      <c r="A192" s="17" t="s">
        <v>483</v>
      </c>
      <c r="B192" s="11" t="s">
        <v>149</v>
      </c>
      <c r="C192" s="11" t="s">
        <v>42</v>
      </c>
      <c r="D192" s="25" t="str">
        <f t="shared" si="18"/>
        <v>Item _Unknown_ COM</v>
      </c>
      <c r="E192" s="27">
        <f t="shared" si="17"/>
        <v>39.5</v>
      </c>
      <c r="F192" s="12">
        <v>5</v>
      </c>
      <c r="G192" s="12">
        <v>197.5</v>
      </c>
      <c r="H192" s="11" t="s">
        <v>27</v>
      </c>
      <c r="I192" s="11" t="s">
        <v>39</v>
      </c>
      <c r="J192" s="41">
        <v>45623</v>
      </c>
      <c r="K192" s="29" t="b">
        <f t="shared" si="13"/>
        <v>0</v>
      </c>
      <c r="L192" s="29" t="str">
        <f t="shared" si="15"/>
        <v>No Discount</v>
      </c>
      <c r="M192" s="18" t="str">
        <f t="shared" si="14"/>
        <v>High Profit</v>
      </c>
    </row>
    <row r="193" spans="1:13" ht="15.75" thickBot="1" x14ac:dyDescent="0.3">
      <c r="A193" s="16" t="s">
        <v>485</v>
      </c>
      <c r="B193" s="5" t="s">
        <v>71</v>
      </c>
      <c r="C193" s="5" t="s">
        <v>13</v>
      </c>
      <c r="D193" s="25" t="str">
        <f t="shared" si="18"/>
        <v>Item _Unknown_ FOO</v>
      </c>
      <c r="E193" s="27">
        <f t="shared" si="17"/>
        <v>23</v>
      </c>
      <c r="F193" s="6">
        <v>3</v>
      </c>
      <c r="G193" s="6">
        <v>69</v>
      </c>
      <c r="H193" s="5" t="s">
        <v>15</v>
      </c>
      <c r="I193" s="5" t="s">
        <v>16</v>
      </c>
      <c r="J193" s="40">
        <v>45335</v>
      </c>
      <c r="K193" s="29" t="b">
        <f t="shared" si="13"/>
        <v>0</v>
      </c>
      <c r="L193" s="29" t="str">
        <f t="shared" si="15"/>
        <v>No Discount</v>
      </c>
      <c r="M193" s="18" t="str">
        <f t="shared" si="14"/>
        <v>Loss</v>
      </c>
    </row>
    <row r="194" spans="1:13" ht="15.75" thickBot="1" x14ac:dyDescent="0.3">
      <c r="A194" s="17" t="s">
        <v>488</v>
      </c>
      <c r="B194" s="11" t="s">
        <v>90</v>
      </c>
      <c r="C194" s="11" t="s">
        <v>30</v>
      </c>
      <c r="D194" s="25" t="str">
        <f t="shared" si="18"/>
        <v>Item _Unknown_ ELE</v>
      </c>
      <c r="E194" s="27">
        <f t="shared" si="17"/>
        <v>30.5</v>
      </c>
      <c r="F194" s="12">
        <v>2</v>
      </c>
      <c r="G194" s="12">
        <v>61</v>
      </c>
      <c r="H194" s="11" t="s">
        <v>51</v>
      </c>
      <c r="I194" s="11" t="s">
        <v>39</v>
      </c>
      <c r="J194" s="41">
        <v>44581</v>
      </c>
      <c r="K194" s="29" t="b">
        <f t="shared" ref="K194:K257" si="19">IF(ROUND(E194*F194,2)=G194,FALSE,TRUE)</f>
        <v>0</v>
      </c>
      <c r="L194" s="29" t="str">
        <f t="shared" si="15"/>
        <v>No Discount</v>
      </c>
      <c r="M194" s="18" t="str">
        <f t="shared" ref="M194:M257" si="20">IF(E194&gt;=35,"High Profit",IF(E194&gt;=25,"Medium","Loss"))</f>
        <v>Medium</v>
      </c>
    </row>
    <row r="195" spans="1:13" ht="30.75" thickBot="1" x14ac:dyDescent="0.3">
      <c r="A195" s="16" t="s">
        <v>489</v>
      </c>
      <c r="B195" s="5" t="s">
        <v>106</v>
      </c>
      <c r="C195" s="5" t="s">
        <v>158</v>
      </c>
      <c r="D195" s="25" t="str">
        <f t="shared" si="18"/>
        <v>Item _Unknown_ ELE</v>
      </c>
      <c r="E195" s="27">
        <f t="shared" si="17"/>
        <v>35</v>
      </c>
      <c r="F195" s="6">
        <v>4</v>
      </c>
      <c r="G195" s="6">
        <v>140</v>
      </c>
      <c r="H195" s="5" t="s">
        <v>15</v>
      </c>
      <c r="I195" s="5" t="s">
        <v>39</v>
      </c>
      <c r="J195" s="40">
        <v>45582</v>
      </c>
      <c r="K195" s="29" t="b">
        <f t="shared" si="19"/>
        <v>0</v>
      </c>
      <c r="L195" s="29" t="str">
        <f t="shared" ref="L195:L258" si="21">IF(K195=FALSE,"No Discount","Discount Applied")</f>
        <v>No Discount</v>
      </c>
      <c r="M195" s="18" t="str">
        <f t="shared" si="20"/>
        <v>High Profit</v>
      </c>
    </row>
    <row r="196" spans="1:13" ht="30.75" thickBot="1" x14ac:dyDescent="0.3">
      <c r="A196" s="17" t="s">
        <v>491</v>
      </c>
      <c r="B196" s="11" t="s">
        <v>94</v>
      </c>
      <c r="C196" s="11" t="s">
        <v>158</v>
      </c>
      <c r="D196" s="25" t="str">
        <f t="shared" si="18"/>
        <v>Item _Unknown_ FUR</v>
      </c>
      <c r="E196" s="27">
        <f t="shared" si="17"/>
        <v>6.5</v>
      </c>
      <c r="F196" s="12">
        <v>8</v>
      </c>
      <c r="G196" s="12">
        <v>52</v>
      </c>
      <c r="H196" s="11" t="s">
        <v>27</v>
      </c>
      <c r="I196" s="11" t="s">
        <v>16</v>
      </c>
      <c r="J196" s="41">
        <v>45269</v>
      </c>
      <c r="K196" s="29" t="b">
        <f t="shared" si="19"/>
        <v>0</v>
      </c>
      <c r="L196" s="29" t="str">
        <f t="shared" si="21"/>
        <v>No Discount</v>
      </c>
      <c r="M196" s="18" t="str">
        <f t="shared" si="20"/>
        <v>Loss</v>
      </c>
    </row>
    <row r="197" spans="1:13" ht="30.75" thickBot="1" x14ac:dyDescent="0.3">
      <c r="A197" s="16" t="s">
        <v>492</v>
      </c>
      <c r="B197" s="5" t="s">
        <v>130</v>
      </c>
      <c r="C197" s="5" t="s">
        <v>75</v>
      </c>
      <c r="D197" s="25" t="str">
        <f t="shared" si="18"/>
        <v>Item _Unknown_ PAT</v>
      </c>
      <c r="E197" s="27">
        <f t="shared" si="17"/>
        <v>29</v>
      </c>
      <c r="F197" s="6">
        <v>4</v>
      </c>
      <c r="G197" s="6">
        <v>116</v>
      </c>
      <c r="H197" s="5" t="s">
        <v>51</v>
      </c>
      <c r="I197" s="5" t="s">
        <v>16</v>
      </c>
      <c r="J197" s="40">
        <v>44707</v>
      </c>
      <c r="K197" s="29" t="b">
        <f t="shared" si="19"/>
        <v>0</v>
      </c>
      <c r="L197" s="29" t="str">
        <f t="shared" si="21"/>
        <v>No Discount</v>
      </c>
      <c r="M197" s="18" t="str">
        <f t="shared" si="20"/>
        <v>Medium</v>
      </c>
    </row>
    <row r="198" spans="1:13" ht="30.75" thickBot="1" x14ac:dyDescent="0.3">
      <c r="A198" s="17" t="s">
        <v>495</v>
      </c>
      <c r="B198" s="11" t="s">
        <v>140</v>
      </c>
      <c r="C198" s="11" t="s">
        <v>158</v>
      </c>
      <c r="D198" s="25" t="str">
        <f t="shared" si="18"/>
        <v>Item _Unknown_ FOO</v>
      </c>
      <c r="E198" s="27">
        <f t="shared" si="17"/>
        <v>35</v>
      </c>
      <c r="F198" s="12">
        <v>2</v>
      </c>
      <c r="G198" s="12">
        <v>70</v>
      </c>
      <c r="H198" s="11" t="s">
        <v>27</v>
      </c>
      <c r="I198" s="11" t="s">
        <v>39</v>
      </c>
      <c r="J198" s="41">
        <v>45534</v>
      </c>
      <c r="K198" s="29" t="b">
        <f t="shared" si="19"/>
        <v>0</v>
      </c>
      <c r="L198" s="29" t="str">
        <f t="shared" si="21"/>
        <v>No Discount</v>
      </c>
      <c r="M198" s="18" t="str">
        <f t="shared" si="20"/>
        <v>High Profit</v>
      </c>
    </row>
    <row r="199" spans="1:13" ht="15.75" thickBot="1" x14ac:dyDescent="0.3">
      <c r="A199" s="16" t="s">
        <v>497</v>
      </c>
      <c r="B199" s="5" t="s">
        <v>117</v>
      </c>
      <c r="C199" s="5" t="s">
        <v>49</v>
      </c>
      <c r="D199" s="25" t="str">
        <f t="shared" si="18"/>
        <v>Item _Unknown_ COM</v>
      </c>
      <c r="E199" s="27">
        <f t="shared" si="17"/>
        <v>15.5</v>
      </c>
      <c r="F199" s="6">
        <v>3</v>
      </c>
      <c r="G199" s="6">
        <v>46.5</v>
      </c>
      <c r="H199" s="5" t="s">
        <v>15</v>
      </c>
      <c r="I199" s="5" t="s">
        <v>39</v>
      </c>
      <c r="J199" s="40">
        <v>44842</v>
      </c>
      <c r="K199" s="29" t="b">
        <f t="shared" si="19"/>
        <v>0</v>
      </c>
      <c r="L199" s="29" t="str">
        <f t="shared" si="21"/>
        <v>No Discount</v>
      </c>
      <c r="M199" s="18" t="str">
        <f t="shared" si="20"/>
        <v>Loss</v>
      </c>
    </row>
    <row r="200" spans="1:13" ht="15.75" thickBot="1" x14ac:dyDescent="0.3">
      <c r="A200" s="17" t="s">
        <v>498</v>
      </c>
      <c r="B200" s="11" t="s">
        <v>60</v>
      </c>
      <c r="C200" s="11" t="s">
        <v>13</v>
      </c>
      <c r="D200" s="25" t="str">
        <f t="shared" si="18"/>
        <v>Item _Unknown_ COM</v>
      </c>
      <c r="E200" s="27">
        <f t="shared" si="17"/>
        <v>5</v>
      </c>
      <c r="F200" s="12">
        <v>7</v>
      </c>
      <c r="G200" s="12">
        <v>35</v>
      </c>
      <c r="H200" s="11" t="s">
        <v>15</v>
      </c>
      <c r="I200" s="11" t="s">
        <v>16</v>
      </c>
      <c r="J200" s="41">
        <v>45637</v>
      </c>
      <c r="K200" s="29" t="b">
        <f t="shared" si="19"/>
        <v>0</v>
      </c>
      <c r="L200" s="29" t="str">
        <f t="shared" si="21"/>
        <v>No Discount</v>
      </c>
      <c r="M200" s="18" t="str">
        <f t="shared" si="20"/>
        <v>Loss</v>
      </c>
    </row>
    <row r="201" spans="1:13" ht="15.75" thickBot="1" x14ac:dyDescent="0.3">
      <c r="A201" s="16" t="s">
        <v>499</v>
      </c>
      <c r="B201" s="5" t="s">
        <v>117</v>
      </c>
      <c r="C201" s="5" t="s">
        <v>30</v>
      </c>
      <c r="D201" s="25" t="str">
        <f t="shared" si="18"/>
        <v>Item _Unknown_ ELE</v>
      </c>
      <c r="E201" s="27">
        <f t="shared" si="17"/>
        <v>12.5</v>
      </c>
      <c r="F201" s="6">
        <v>4</v>
      </c>
      <c r="G201" s="6">
        <v>50</v>
      </c>
      <c r="H201" s="5" t="s">
        <v>51</v>
      </c>
      <c r="I201" s="5" t="s">
        <v>16</v>
      </c>
      <c r="J201" s="40">
        <v>45488</v>
      </c>
      <c r="K201" s="29" t="b">
        <f t="shared" si="19"/>
        <v>0</v>
      </c>
      <c r="L201" s="29" t="str">
        <f t="shared" si="21"/>
        <v>No Discount</v>
      </c>
      <c r="M201" s="18" t="str">
        <f t="shared" si="20"/>
        <v>Loss</v>
      </c>
    </row>
    <row r="202" spans="1:13" ht="15.75" thickBot="1" x14ac:dyDescent="0.3">
      <c r="A202" s="17" t="s">
        <v>500</v>
      </c>
      <c r="B202" s="11" t="s">
        <v>29</v>
      </c>
      <c r="C202" s="11" t="s">
        <v>49</v>
      </c>
      <c r="D202" s="25" t="str">
        <f t="shared" si="18"/>
        <v>Item _Unknown_ COM</v>
      </c>
      <c r="E202" s="27">
        <f t="shared" si="17"/>
        <v>41</v>
      </c>
      <c r="F202" s="12">
        <v>3</v>
      </c>
      <c r="G202" s="12">
        <v>123</v>
      </c>
      <c r="H202" s="11" t="s">
        <v>27</v>
      </c>
      <c r="I202" s="11" t="s">
        <v>16</v>
      </c>
      <c r="J202" s="41">
        <v>45571</v>
      </c>
      <c r="K202" s="29" t="b">
        <f t="shared" si="19"/>
        <v>0</v>
      </c>
      <c r="L202" s="29" t="str">
        <f t="shared" si="21"/>
        <v>No Discount</v>
      </c>
      <c r="M202" s="18" t="str">
        <f t="shared" si="20"/>
        <v>High Profit</v>
      </c>
    </row>
    <row r="203" spans="1:13" ht="15.75" thickBot="1" x14ac:dyDescent="0.3">
      <c r="A203" s="16" t="s">
        <v>502</v>
      </c>
      <c r="B203" s="5" t="s">
        <v>48</v>
      </c>
      <c r="C203" s="5" t="s">
        <v>49</v>
      </c>
      <c r="D203" s="25" t="str">
        <f t="shared" si="18"/>
        <v>Item _Unknown_ BUT</v>
      </c>
      <c r="E203" s="27">
        <f t="shared" si="17"/>
        <v>38</v>
      </c>
      <c r="F203" s="6">
        <v>2</v>
      </c>
      <c r="G203" s="6">
        <v>76</v>
      </c>
      <c r="H203" s="5" t="s">
        <v>15</v>
      </c>
      <c r="I203" s="5" t="s">
        <v>39</v>
      </c>
      <c r="J203" s="40">
        <v>45295</v>
      </c>
      <c r="K203" s="29" t="b">
        <f t="shared" si="19"/>
        <v>0</v>
      </c>
      <c r="L203" s="29" t="str">
        <f t="shared" si="21"/>
        <v>No Discount</v>
      </c>
      <c r="M203" s="18" t="str">
        <f t="shared" si="20"/>
        <v>High Profit</v>
      </c>
    </row>
    <row r="204" spans="1:13" ht="15.75" thickBot="1" x14ac:dyDescent="0.3">
      <c r="A204" s="17" t="s">
        <v>503</v>
      </c>
      <c r="B204" s="11" t="s">
        <v>19</v>
      </c>
      <c r="C204" s="11" t="s">
        <v>13</v>
      </c>
      <c r="D204" s="25" t="str">
        <f t="shared" si="18"/>
        <v>Item _Unknown_ PAT</v>
      </c>
      <c r="E204" s="27">
        <f t="shared" si="17"/>
        <v>5</v>
      </c>
      <c r="F204" s="12">
        <v>8</v>
      </c>
      <c r="G204" s="12">
        <v>40</v>
      </c>
      <c r="H204" s="11" t="s">
        <v>51</v>
      </c>
      <c r="I204" s="11" t="s">
        <v>16</v>
      </c>
      <c r="J204" s="41">
        <v>44967</v>
      </c>
      <c r="K204" s="29" t="b">
        <f t="shared" si="19"/>
        <v>0</v>
      </c>
      <c r="L204" s="29" t="str">
        <f t="shared" si="21"/>
        <v>No Discount</v>
      </c>
      <c r="M204" s="18" t="str">
        <f t="shared" si="20"/>
        <v>Loss</v>
      </c>
    </row>
    <row r="205" spans="1:13" ht="30.75" thickBot="1" x14ac:dyDescent="0.3">
      <c r="A205" s="16" t="s">
        <v>504</v>
      </c>
      <c r="B205" s="5" t="s">
        <v>19</v>
      </c>
      <c r="C205" s="5" t="s">
        <v>158</v>
      </c>
      <c r="D205" s="25" t="str">
        <f t="shared" si="18"/>
        <v>Item _Unknown_ FOO</v>
      </c>
      <c r="E205" s="27">
        <f t="shared" si="17"/>
        <v>9.5</v>
      </c>
      <c r="F205" s="6">
        <v>5</v>
      </c>
      <c r="G205" s="6">
        <v>47.5</v>
      </c>
      <c r="H205" s="5" t="s">
        <v>27</v>
      </c>
      <c r="I205" s="5" t="s">
        <v>16</v>
      </c>
      <c r="J205" s="40">
        <v>45581</v>
      </c>
      <c r="K205" s="29" t="b">
        <f t="shared" si="19"/>
        <v>0</v>
      </c>
      <c r="L205" s="29" t="str">
        <f t="shared" si="21"/>
        <v>No Discount</v>
      </c>
      <c r="M205" s="18" t="str">
        <f t="shared" si="20"/>
        <v>Loss</v>
      </c>
    </row>
    <row r="206" spans="1:13" ht="30.75" thickBot="1" x14ac:dyDescent="0.3">
      <c r="A206" s="17" t="s">
        <v>507</v>
      </c>
      <c r="B206" s="11" t="s">
        <v>117</v>
      </c>
      <c r="C206" s="11" t="s">
        <v>158</v>
      </c>
      <c r="D206" s="25" t="str">
        <f t="shared" si="18"/>
        <v>Item _Unknown_ BUT</v>
      </c>
      <c r="E206" s="27">
        <f t="shared" si="17"/>
        <v>35</v>
      </c>
      <c r="F206" s="12">
        <v>7</v>
      </c>
      <c r="G206" s="12">
        <v>245</v>
      </c>
      <c r="H206" s="11" t="s">
        <v>51</v>
      </c>
      <c r="I206" s="11" t="s">
        <v>16</v>
      </c>
      <c r="J206" s="41">
        <v>45150</v>
      </c>
      <c r="K206" s="29" t="b">
        <f t="shared" si="19"/>
        <v>0</v>
      </c>
      <c r="L206" s="29" t="str">
        <f t="shared" si="21"/>
        <v>No Discount</v>
      </c>
      <c r="M206" s="18" t="str">
        <f t="shared" si="20"/>
        <v>High Profit</v>
      </c>
    </row>
    <row r="207" spans="1:13" ht="15.75" thickBot="1" x14ac:dyDescent="0.3">
      <c r="A207" s="16" t="s">
        <v>508</v>
      </c>
      <c r="B207" s="5" t="s">
        <v>29</v>
      </c>
      <c r="C207" s="5" t="s">
        <v>13</v>
      </c>
      <c r="D207" s="25" t="str">
        <f t="shared" si="18"/>
        <v>Item _Unknown_ BUT</v>
      </c>
      <c r="E207" s="27">
        <f t="shared" si="17"/>
        <v>18.5</v>
      </c>
      <c r="F207" s="6">
        <v>3</v>
      </c>
      <c r="G207" s="6">
        <v>55.5</v>
      </c>
      <c r="H207" s="5" t="s">
        <v>51</v>
      </c>
      <c r="I207" s="5" t="s">
        <v>39</v>
      </c>
      <c r="J207" s="40">
        <v>45319</v>
      </c>
      <c r="K207" s="29" t="b">
        <f t="shared" si="19"/>
        <v>0</v>
      </c>
      <c r="L207" s="29" t="str">
        <f t="shared" si="21"/>
        <v>No Discount</v>
      </c>
      <c r="M207" s="18" t="str">
        <f t="shared" si="20"/>
        <v>Loss</v>
      </c>
    </row>
    <row r="208" spans="1:13" ht="15.75" thickBot="1" x14ac:dyDescent="0.3">
      <c r="A208" s="17" t="s">
        <v>509</v>
      </c>
      <c r="B208" s="11" t="s">
        <v>86</v>
      </c>
      <c r="C208" s="11" t="s">
        <v>20</v>
      </c>
      <c r="D208" s="25" t="str">
        <f t="shared" si="18"/>
        <v>Item _Unknown_ PAT</v>
      </c>
      <c r="E208" s="27">
        <f t="shared" si="17"/>
        <v>6.5</v>
      </c>
      <c r="F208" s="12">
        <v>1</v>
      </c>
      <c r="G208" s="12">
        <v>6.5</v>
      </c>
      <c r="H208" s="11" t="s">
        <v>15</v>
      </c>
      <c r="I208" s="11" t="s">
        <v>16</v>
      </c>
      <c r="J208" s="41">
        <v>45446</v>
      </c>
      <c r="K208" s="29" t="b">
        <f t="shared" si="19"/>
        <v>0</v>
      </c>
      <c r="L208" s="29" t="str">
        <f t="shared" si="21"/>
        <v>No Discount</v>
      </c>
      <c r="M208" s="18" t="str">
        <f t="shared" si="20"/>
        <v>Loss</v>
      </c>
    </row>
    <row r="209" spans="1:13" ht="15.75" thickBot="1" x14ac:dyDescent="0.3">
      <c r="A209" s="16" t="s">
        <v>511</v>
      </c>
      <c r="B209" s="5" t="s">
        <v>90</v>
      </c>
      <c r="C209" s="5" t="s">
        <v>25</v>
      </c>
      <c r="D209" s="25" t="str">
        <f t="shared" si="18"/>
        <v>Item _Unknown_ COM</v>
      </c>
      <c r="E209" s="27">
        <f t="shared" si="17"/>
        <v>41</v>
      </c>
      <c r="F209" s="6">
        <v>2</v>
      </c>
      <c r="G209" s="6">
        <v>82</v>
      </c>
      <c r="H209" s="5" t="s">
        <v>15</v>
      </c>
      <c r="I209" s="5" t="s">
        <v>16</v>
      </c>
      <c r="J209" s="40">
        <v>45602</v>
      </c>
      <c r="K209" s="29" t="b">
        <f t="shared" si="19"/>
        <v>0</v>
      </c>
      <c r="L209" s="29" t="str">
        <f t="shared" si="21"/>
        <v>No Discount</v>
      </c>
      <c r="M209" s="18" t="str">
        <f t="shared" si="20"/>
        <v>High Profit</v>
      </c>
    </row>
    <row r="210" spans="1:13" ht="15.75" thickBot="1" x14ac:dyDescent="0.3">
      <c r="A210" s="17" t="s">
        <v>512</v>
      </c>
      <c r="B210" s="11" t="s">
        <v>140</v>
      </c>
      <c r="C210" s="11" t="s">
        <v>20</v>
      </c>
      <c r="D210" s="25" t="str">
        <f t="shared" si="18"/>
        <v>Item _Unknown_ COM</v>
      </c>
      <c r="E210" s="27">
        <f t="shared" si="17"/>
        <v>15.5</v>
      </c>
      <c r="F210" s="12">
        <v>6</v>
      </c>
      <c r="G210" s="12">
        <v>93</v>
      </c>
      <c r="H210" s="11" t="s">
        <v>15</v>
      </c>
      <c r="I210" s="11" t="s">
        <v>39</v>
      </c>
      <c r="J210" s="41">
        <v>44791</v>
      </c>
      <c r="K210" s="29" t="b">
        <f t="shared" si="19"/>
        <v>0</v>
      </c>
      <c r="L210" s="29" t="str">
        <f t="shared" si="21"/>
        <v>No Discount</v>
      </c>
      <c r="M210" s="18" t="str">
        <f t="shared" si="20"/>
        <v>Loss</v>
      </c>
    </row>
    <row r="211" spans="1:13" ht="30.75" thickBot="1" x14ac:dyDescent="0.3">
      <c r="A211" s="16" t="s">
        <v>514</v>
      </c>
      <c r="B211" s="5" t="s">
        <v>44</v>
      </c>
      <c r="C211" s="5" t="s">
        <v>158</v>
      </c>
      <c r="D211" s="25" t="str">
        <f t="shared" si="18"/>
        <v>Item _Unknown_ PAT</v>
      </c>
      <c r="E211" s="27">
        <f t="shared" si="17"/>
        <v>30.5</v>
      </c>
      <c r="F211" s="6">
        <v>5</v>
      </c>
      <c r="G211" s="6">
        <v>152.5</v>
      </c>
      <c r="H211" s="5" t="s">
        <v>27</v>
      </c>
      <c r="I211" s="5" t="s">
        <v>16</v>
      </c>
      <c r="J211" s="40">
        <v>44843</v>
      </c>
      <c r="K211" s="29" t="b">
        <f t="shared" si="19"/>
        <v>0</v>
      </c>
      <c r="L211" s="29" t="str">
        <f t="shared" si="21"/>
        <v>No Discount</v>
      </c>
      <c r="M211" s="18" t="str">
        <f t="shared" si="20"/>
        <v>Medium</v>
      </c>
    </row>
    <row r="212" spans="1:13" ht="15.75" thickBot="1" x14ac:dyDescent="0.3">
      <c r="A212" s="17" t="s">
        <v>515</v>
      </c>
      <c r="B212" s="11" t="s">
        <v>140</v>
      </c>
      <c r="C212" s="11" t="s">
        <v>13</v>
      </c>
      <c r="D212" s="25" t="str">
        <f t="shared" si="18"/>
        <v>Item _Unknown_ MIL</v>
      </c>
      <c r="E212" s="27">
        <f t="shared" si="17"/>
        <v>39.5</v>
      </c>
      <c r="F212" s="12">
        <v>3</v>
      </c>
      <c r="G212" s="12">
        <v>118.5</v>
      </c>
      <c r="H212" s="11" t="s">
        <v>27</v>
      </c>
      <c r="I212" s="11" t="s">
        <v>16</v>
      </c>
      <c r="J212" s="41">
        <v>44818</v>
      </c>
      <c r="K212" s="29" t="b">
        <f t="shared" si="19"/>
        <v>0</v>
      </c>
      <c r="L212" s="29" t="str">
        <f t="shared" si="21"/>
        <v>No Discount</v>
      </c>
      <c r="M212" s="18" t="str">
        <f t="shared" si="20"/>
        <v>High Profit</v>
      </c>
    </row>
    <row r="213" spans="1:13" ht="15.75" thickBot="1" x14ac:dyDescent="0.3">
      <c r="A213" s="16" t="s">
        <v>517</v>
      </c>
      <c r="B213" s="5" t="s">
        <v>136</v>
      </c>
      <c r="C213" s="5" t="s">
        <v>49</v>
      </c>
      <c r="D213" s="25" t="str">
        <f t="shared" si="18"/>
        <v>Item _Unknown_ BEV</v>
      </c>
      <c r="E213" s="27">
        <f t="shared" si="17"/>
        <v>5</v>
      </c>
      <c r="F213" s="6">
        <v>7</v>
      </c>
      <c r="G213" s="6">
        <v>35</v>
      </c>
      <c r="H213" s="5" t="s">
        <v>15</v>
      </c>
      <c r="I213" s="5" t="s">
        <v>39</v>
      </c>
      <c r="J213" s="40">
        <v>45034</v>
      </c>
      <c r="K213" s="29" t="b">
        <f t="shared" si="19"/>
        <v>0</v>
      </c>
      <c r="L213" s="29" t="str">
        <f t="shared" si="21"/>
        <v>No Discount</v>
      </c>
      <c r="M213" s="18" t="str">
        <f t="shared" si="20"/>
        <v>Loss</v>
      </c>
    </row>
    <row r="214" spans="1:13" ht="15.75" thickBot="1" x14ac:dyDescent="0.3">
      <c r="A214" s="17" t="s">
        <v>519</v>
      </c>
      <c r="B214" s="11" t="s">
        <v>120</v>
      </c>
      <c r="C214" s="11" t="s">
        <v>30</v>
      </c>
      <c r="D214" s="25" t="str">
        <f t="shared" si="18"/>
        <v>Item _Unknown_ MIL</v>
      </c>
      <c r="E214" s="27">
        <f t="shared" si="17"/>
        <v>41</v>
      </c>
      <c r="F214" s="12">
        <v>3</v>
      </c>
      <c r="G214" s="12">
        <v>123</v>
      </c>
      <c r="H214" s="11" t="s">
        <v>27</v>
      </c>
      <c r="I214" s="11" t="s">
        <v>39</v>
      </c>
      <c r="J214" s="41">
        <v>44647</v>
      </c>
      <c r="K214" s="29" t="b">
        <f t="shared" si="19"/>
        <v>0</v>
      </c>
      <c r="L214" s="29" t="str">
        <f t="shared" si="21"/>
        <v>No Discount</v>
      </c>
      <c r="M214" s="18" t="str">
        <f t="shared" si="20"/>
        <v>High Profit</v>
      </c>
    </row>
    <row r="215" spans="1:13" ht="15.75" thickBot="1" x14ac:dyDescent="0.3">
      <c r="A215" s="16" t="s">
        <v>521</v>
      </c>
      <c r="B215" s="5" t="s">
        <v>106</v>
      </c>
      <c r="C215" s="5" t="s">
        <v>13</v>
      </c>
      <c r="D215" s="25" t="str">
        <f t="shared" si="18"/>
        <v>Item _Unknown_ COM</v>
      </c>
      <c r="E215" s="27">
        <f t="shared" si="17"/>
        <v>12.5</v>
      </c>
      <c r="F215" s="6">
        <v>2</v>
      </c>
      <c r="G215" s="6">
        <v>25</v>
      </c>
      <c r="H215" s="5" t="s">
        <v>15</v>
      </c>
      <c r="I215" s="5" t="s">
        <v>39</v>
      </c>
      <c r="J215" s="40">
        <v>45233</v>
      </c>
      <c r="K215" s="29" t="b">
        <f t="shared" si="19"/>
        <v>0</v>
      </c>
      <c r="L215" s="29" t="str">
        <f t="shared" si="21"/>
        <v>No Discount</v>
      </c>
      <c r="M215" s="18" t="str">
        <f t="shared" si="20"/>
        <v>Loss</v>
      </c>
    </row>
    <row r="216" spans="1:13" ht="15.75" thickBot="1" x14ac:dyDescent="0.3">
      <c r="A216" s="17" t="s">
        <v>522</v>
      </c>
      <c r="B216" s="11" t="s">
        <v>19</v>
      </c>
      <c r="C216" s="11" t="s">
        <v>25</v>
      </c>
      <c r="D216" s="25" t="str">
        <f t="shared" si="18"/>
        <v>Item _Unknown_ PAT</v>
      </c>
      <c r="E216" s="27">
        <f t="shared" si="17"/>
        <v>21.5</v>
      </c>
      <c r="F216" s="12">
        <v>8</v>
      </c>
      <c r="G216" s="12">
        <v>172</v>
      </c>
      <c r="H216" s="11" t="s">
        <v>15</v>
      </c>
      <c r="I216" s="11" t="s">
        <v>39</v>
      </c>
      <c r="J216" s="41">
        <v>45060</v>
      </c>
      <c r="K216" s="29" t="b">
        <f t="shared" si="19"/>
        <v>0</v>
      </c>
      <c r="L216" s="29" t="str">
        <f t="shared" si="21"/>
        <v>No Discount</v>
      </c>
      <c r="M216" s="18" t="str">
        <f t="shared" si="20"/>
        <v>Loss</v>
      </c>
    </row>
    <row r="217" spans="1:13" ht="15.75" thickBot="1" x14ac:dyDescent="0.3">
      <c r="A217" s="16" t="s">
        <v>525</v>
      </c>
      <c r="B217" s="5" t="s">
        <v>120</v>
      </c>
      <c r="C217" s="5" t="s">
        <v>49</v>
      </c>
      <c r="D217" s="25" t="str">
        <f t="shared" si="18"/>
        <v>Item _Unknown_ BUT</v>
      </c>
      <c r="E217" s="27">
        <f t="shared" si="17"/>
        <v>35</v>
      </c>
      <c r="F217" s="6">
        <v>8</v>
      </c>
      <c r="G217" s="6">
        <v>280</v>
      </c>
      <c r="H217" s="5" t="s">
        <v>27</v>
      </c>
      <c r="I217" s="5" t="s">
        <v>39</v>
      </c>
      <c r="J217" s="40">
        <v>45258</v>
      </c>
      <c r="K217" s="29" t="b">
        <f t="shared" si="19"/>
        <v>0</v>
      </c>
      <c r="L217" s="29" t="str">
        <f t="shared" si="21"/>
        <v>No Discount</v>
      </c>
      <c r="M217" s="18" t="str">
        <f t="shared" si="20"/>
        <v>High Profit</v>
      </c>
    </row>
    <row r="218" spans="1:13" ht="15.75" thickBot="1" x14ac:dyDescent="0.3">
      <c r="A218" s="17" t="s">
        <v>527</v>
      </c>
      <c r="B218" s="11" t="s">
        <v>29</v>
      </c>
      <c r="C218" s="11" t="s">
        <v>49</v>
      </c>
      <c r="D218" s="25" t="str">
        <f t="shared" si="18"/>
        <v>Item _Unknown_ FOO</v>
      </c>
      <c r="E218" s="27">
        <f t="shared" si="17"/>
        <v>38</v>
      </c>
      <c r="F218" s="12">
        <v>5</v>
      </c>
      <c r="G218" s="12">
        <v>190</v>
      </c>
      <c r="H218" s="11" t="s">
        <v>27</v>
      </c>
      <c r="I218" s="11" t="s">
        <v>16</v>
      </c>
      <c r="J218" s="41">
        <v>45533</v>
      </c>
      <c r="K218" s="29" t="b">
        <f t="shared" si="19"/>
        <v>0</v>
      </c>
      <c r="L218" s="29" t="str">
        <f t="shared" si="21"/>
        <v>No Discount</v>
      </c>
      <c r="M218" s="18" t="str">
        <f t="shared" si="20"/>
        <v>High Profit</v>
      </c>
    </row>
    <row r="219" spans="1:13" ht="15.75" thickBot="1" x14ac:dyDescent="0.3">
      <c r="A219" s="16" t="s">
        <v>529</v>
      </c>
      <c r="B219" s="5" t="s">
        <v>41</v>
      </c>
      <c r="C219" s="5" t="s">
        <v>49</v>
      </c>
      <c r="D219" s="25" t="str">
        <f t="shared" si="18"/>
        <v>Item _Unknown_ PAT</v>
      </c>
      <c r="E219" s="27">
        <f t="shared" si="17"/>
        <v>27.5</v>
      </c>
      <c r="F219" s="6">
        <v>7</v>
      </c>
      <c r="G219" s="6">
        <v>192.5</v>
      </c>
      <c r="H219" s="5" t="s">
        <v>15</v>
      </c>
      <c r="I219" s="5" t="s">
        <v>16</v>
      </c>
      <c r="J219" s="40">
        <v>44604</v>
      </c>
      <c r="K219" s="29" t="b">
        <f t="shared" si="19"/>
        <v>0</v>
      </c>
      <c r="L219" s="29" t="str">
        <f t="shared" si="21"/>
        <v>No Discount</v>
      </c>
      <c r="M219" s="18" t="str">
        <f t="shared" si="20"/>
        <v>Medium</v>
      </c>
    </row>
    <row r="220" spans="1:13" ht="30.75" thickBot="1" x14ac:dyDescent="0.3">
      <c r="A220" s="16" t="s">
        <v>532</v>
      </c>
      <c r="B220" s="5" t="s">
        <v>127</v>
      </c>
      <c r="C220" s="5" t="s">
        <v>75</v>
      </c>
      <c r="D220" s="25" t="str">
        <f>"Item _Unknown_ "&amp;UPPER(LEFT(C217,3))</f>
        <v>Item _Unknown_ BUT</v>
      </c>
      <c r="E220" s="27">
        <f t="shared" si="17"/>
        <v>18.5</v>
      </c>
      <c r="F220" s="6">
        <v>4</v>
      </c>
      <c r="G220" s="6">
        <v>74</v>
      </c>
      <c r="H220" s="5" t="s">
        <v>15</v>
      </c>
      <c r="I220" s="5" t="s">
        <v>16</v>
      </c>
      <c r="J220" s="40">
        <v>44738</v>
      </c>
      <c r="K220" s="29" t="b">
        <f t="shared" si="19"/>
        <v>0</v>
      </c>
      <c r="L220" s="29" t="str">
        <f t="shared" si="21"/>
        <v>No Discount</v>
      </c>
      <c r="M220" s="18" t="str">
        <f t="shared" si="20"/>
        <v>Loss</v>
      </c>
    </row>
    <row r="221" spans="1:13" ht="15.75" thickBot="1" x14ac:dyDescent="0.3">
      <c r="A221" s="16" t="s">
        <v>536</v>
      </c>
      <c r="B221" s="5" t="s">
        <v>24</v>
      </c>
      <c r="C221" s="5" t="s">
        <v>30</v>
      </c>
      <c r="D221" s="25" t="str">
        <f>"Item _Unknown_ "&amp;UPPER(LEFT(C219,3))</f>
        <v>Item _Unknown_ BUT</v>
      </c>
      <c r="E221" s="27">
        <f t="shared" si="17"/>
        <v>11</v>
      </c>
      <c r="F221" s="6">
        <v>6</v>
      </c>
      <c r="G221" s="6">
        <v>66</v>
      </c>
      <c r="H221" s="5" t="s">
        <v>27</v>
      </c>
      <c r="I221" s="5" t="s">
        <v>39</v>
      </c>
      <c r="J221" s="40">
        <v>44722</v>
      </c>
      <c r="K221" s="29" t="b">
        <f t="shared" si="19"/>
        <v>0</v>
      </c>
      <c r="L221" s="29" t="str">
        <f t="shared" si="21"/>
        <v>No Discount</v>
      </c>
      <c r="M221" s="18" t="str">
        <f t="shared" si="20"/>
        <v>Loss</v>
      </c>
    </row>
    <row r="222" spans="1:13" ht="30.75" thickBot="1" x14ac:dyDescent="0.3">
      <c r="A222" s="17" t="s">
        <v>538</v>
      </c>
      <c r="B222" s="11" t="s">
        <v>120</v>
      </c>
      <c r="C222" s="11" t="s">
        <v>75</v>
      </c>
      <c r="D222" s="25" t="str">
        <f>"Item _Unknown_ "&amp;UPPER(LEFT(C213,3))</f>
        <v>Item _Unknown_ BUT</v>
      </c>
      <c r="E222" s="27">
        <f t="shared" si="17"/>
        <v>35</v>
      </c>
      <c r="F222" s="12">
        <v>3</v>
      </c>
      <c r="G222" s="12">
        <v>105</v>
      </c>
      <c r="H222" s="11" t="s">
        <v>27</v>
      </c>
      <c r="I222" s="11" t="s">
        <v>16</v>
      </c>
      <c r="J222" s="41">
        <v>44909</v>
      </c>
      <c r="K222" s="29" t="b">
        <f t="shared" si="19"/>
        <v>0</v>
      </c>
      <c r="L222" s="29" t="str">
        <f t="shared" si="21"/>
        <v>No Discount</v>
      </c>
      <c r="M222" s="18" t="str">
        <f t="shared" si="20"/>
        <v>High Profit</v>
      </c>
    </row>
    <row r="223" spans="1:13" ht="15.75" thickBot="1" x14ac:dyDescent="0.3">
      <c r="A223" s="16" t="s">
        <v>540</v>
      </c>
      <c r="B223" s="5" t="s">
        <v>90</v>
      </c>
      <c r="C223" s="5" t="s">
        <v>25</v>
      </c>
      <c r="D223" s="25" t="str">
        <f>"Item _Unknown_ "&amp;UPPER(LEFT(C220,3))</f>
        <v>Item _Unknown_ ELE</v>
      </c>
      <c r="E223" s="27">
        <f t="shared" si="17"/>
        <v>41</v>
      </c>
      <c r="F223" s="6">
        <v>5</v>
      </c>
      <c r="G223" s="6">
        <v>205</v>
      </c>
      <c r="H223" s="5" t="s">
        <v>51</v>
      </c>
      <c r="I223" s="5" t="s">
        <v>39</v>
      </c>
      <c r="J223" s="40">
        <v>45211</v>
      </c>
      <c r="K223" s="29" t="b">
        <f t="shared" si="19"/>
        <v>0</v>
      </c>
      <c r="L223" s="29" t="str">
        <f t="shared" si="21"/>
        <v>No Discount</v>
      </c>
      <c r="M223" s="18" t="str">
        <f t="shared" si="20"/>
        <v>High Profit</v>
      </c>
    </row>
    <row r="224" spans="1:13" ht="15.75" thickBot="1" x14ac:dyDescent="0.3">
      <c r="A224" s="17" t="s">
        <v>541</v>
      </c>
      <c r="B224" s="11" t="s">
        <v>41</v>
      </c>
      <c r="C224" s="11" t="s">
        <v>30</v>
      </c>
      <c r="D224" s="25" t="str">
        <f>"Item _Unknown_ "&amp;UPPER(LEFT(C215,3))</f>
        <v>Item _Unknown_ PAT</v>
      </c>
      <c r="E224" s="27">
        <f t="shared" si="17"/>
        <v>21.5</v>
      </c>
      <c r="F224" s="12">
        <v>7</v>
      </c>
      <c r="G224" s="12">
        <v>150.5</v>
      </c>
      <c r="H224" s="11" t="s">
        <v>15</v>
      </c>
      <c r="I224" s="11" t="s">
        <v>39</v>
      </c>
      <c r="J224" s="41">
        <v>45548</v>
      </c>
      <c r="K224" s="29" t="b">
        <f t="shared" si="19"/>
        <v>0</v>
      </c>
      <c r="L224" s="29" t="str">
        <f t="shared" si="21"/>
        <v>No Discount</v>
      </c>
      <c r="M224" s="18" t="str">
        <f t="shared" si="20"/>
        <v>Loss</v>
      </c>
    </row>
    <row r="225" spans="1:13" ht="30.75" thickBot="1" x14ac:dyDescent="0.3">
      <c r="A225" s="16" t="s">
        <v>543</v>
      </c>
      <c r="B225" s="5" t="s">
        <v>130</v>
      </c>
      <c r="C225" s="5" t="s">
        <v>158</v>
      </c>
      <c r="D225" s="25" t="str">
        <f t="shared" si="18"/>
        <v>Item _Unknown_ FOO</v>
      </c>
      <c r="E225" s="27">
        <f t="shared" si="17"/>
        <v>11</v>
      </c>
      <c r="F225" s="6">
        <v>10</v>
      </c>
      <c r="G225" s="6">
        <v>110</v>
      </c>
      <c r="H225" s="5" t="s">
        <v>51</v>
      </c>
      <c r="I225" s="5" t="s">
        <v>16</v>
      </c>
      <c r="J225" s="40">
        <v>45320</v>
      </c>
      <c r="K225" s="29" t="b">
        <f t="shared" si="19"/>
        <v>0</v>
      </c>
      <c r="L225" s="29" t="str">
        <f t="shared" si="21"/>
        <v>No Discount</v>
      </c>
      <c r="M225" s="18" t="str">
        <f t="shared" si="20"/>
        <v>Loss</v>
      </c>
    </row>
    <row r="226" spans="1:13" ht="15.75" thickBot="1" x14ac:dyDescent="0.3">
      <c r="A226" s="17" t="s">
        <v>545</v>
      </c>
      <c r="B226" s="11" t="s">
        <v>106</v>
      </c>
      <c r="C226" s="11" t="s">
        <v>20</v>
      </c>
      <c r="D226" s="25" t="str">
        <f t="shared" si="18"/>
        <v>Item _Unknown_ ELE</v>
      </c>
      <c r="E226" s="27">
        <f t="shared" si="17"/>
        <v>5</v>
      </c>
      <c r="F226" s="12">
        <v>2</v>
      </c>
      <c r="G226" s="12">
        <v>10</v>
      </c>
      <c r="H226" s="11" t="s">
        <v>15</v>
      </c>
      <c r="I226" s="11" t="s">
        <v>16</v>
      </c>
      <c r="J226" s="41">
        <v>45053</v>
      </c>
      <c r="K226" s="29" t="b">
        <f t="shared" si="19"/>
        <v>0</v>
      </c>
      <c r="L226" s="29" t="str">
        <f t="shared" si="21"/>
        <v>No Discount</v>
      </c>
      <c r="M226" s="18" t="str">
        <f t="shared" si="20"/>
        <v>Loss</v>
      </c>
    </row>
    <row r="227" spans="1:13" ht="15.75" thickBot="1" x14ac:dyDescent="0.3">
      <c r="A227" s="16" t="s">
        <v>546</v>
      </c>
      <c r="B227" s="5" t="s">
        <v>117</v>
      </c>
      <c r="C227" s="5" t="s">
        <v>20</v>
      </c>
      <c r="D227" s="25" t="str">
        <f t="shared" si="18"/>
        <v>Item _Unknown_ BEV</v>
      </c>
      <c r="E227" s="27">
        <f t="shared" si="17"/>
        <v>9.5</v>
      </c>
      <c r="F227" s="6">
        <v>2</v>
      </c>
      <c r="G227" s="6">
        <v>19</v>
      </c>
      <c r="H227" s="5" t="s">
        <v>27</v>
      </c>
      <c r="I227" s="5" t="s">
        <v>39</v>
      </c>
      <c r="J227" s="40">
        <v>45585</v>
      </c>
      <c r="K227" s="29" t="b">
        <f t="shared" si="19"/>
        <v>0</v>
      </c>
      <c r="L227" s="29" t="str">
        <f t="shared" si="21"/>
        <v>No Discount</v>
      </c>
      <c r="M227" s="18" t="str">
        <f t="shared" si="20"/>
        <v>Loss</v>
      </c>
    </row>
    <row r="228" spans="1:13" ht="15.75" thickBot="1" x14ac:dyDescent="0.3">
      <c r="A228" s="17" t="s">
        <v>548</v>
      </c>
      <c r="B228" s="11" t="s">
        <v>12</v>
      </c>
      <c r="C228" s="11" t="s">
        <v>20</v>
      </c>
      <c r="D228" s="25" t="str">
        <f t="shared" si="18"/>
        <v>Item _Unknown_ FOO</v>
      </c>
      <c r="E228" s="27">
        <f t="shared" si="17"/>
        <v>6.5</v>
      </c>
      <c r="F228" s="12">
        <v>1</v>
      </c>
      <c r="G228" s="12">
        <v>6.5</v>
      </c>
      <c r="H228" s="11" t="s">
        <v>51</v>
      </c>
      <c r="I228" s="11" t="s">
        <v>16</v>
      </c>
      <c r="J228" s="41">
        <v>44880</v>
      </c>
      <c r="K228" s="29" t="b">
        <f t="shared" si="19"/>
        <v>0</v>
      </c>
      <c r="L228" s="29" t="str">
        <f t="shared" si="21"/>
        <v>No Discount</v>
      </c>
      <c r="M228" s="18" t="str">
        <f t="shared" si="20"/>
        <v>Loss</v>
      </c>
    </row>
    <row r="229" spans="1:13" ht="15.75" thickBot="1" x14ac:dyDescent="0.3">
      <c r="A229" s="16" t="s">
        <v>549</v>
      </c>
      <c r="B229" s="5" t="s">
        <v>106</v>
      </c>
      <c r="C229" s="5" t="s">
        <v>30</v>
      </c>
      <c r="D229" s="25" t="str">
        <f t="shared" si="18"/>
        <v>Item _Unknown_ COM</v>
      </c>
      <c r="E229" s="27">
        <f t="shared" si="17"/>
        <v>8</v>
      </c>
      <c r="F229" s="6">
        <v>6</v>
      </c>
      <c r="G229" s="6">
        <v>48</v>
      </c>
      <c r="H229" s="5" t="s">
        <v>27</v>
      </c>
      <c r="I229" s="5" t="s">
        <v>39</v>
      </c>
      <c r="J229" s="40">
        <v>45301</v>
      </c>
      <c r="K229" s="29" t="b">
        <f t="shared" si="19"/>
        <v>0</v>
      </c>
      <c r="L229" s="29" t="str">
        <f t="shared" si="21"/>
        <v>No Discount</v>
      </c>
      <c r="M229" s="18" t="str">
        <f t="shared" si="20"/>
        <v>Loss</v>
      </c>
    </row>
    <row r="230" spans="1:13" ht="30.75" thickBot="1" x14ac:dyDescent="0.3">
      <c r="A230" s="17" t="s">
        <v>550</v>
      </c>
      <c r="B230" s="11" t="s">
        <v>127</v>
      </c>
      <c r="C230" s="11" t="s">
        <v>75</v>
      </c>
      <c r="D230" s="25" t="str">
        <f t="shared" si="18"/>
        <v>Item _Unknown_ MIL</v>
      </c>
      <c r="E230" s="27">
        <f t="shared" si="17"/>
        <v>35</v>
      </c>
      <c r="F230" s="12">
        <v>5</v>
      </c>
      <c r="G230" s="12">
        <v>175</v>
      </c>
      <c r="H230" s="11" t="s">
        <v>15</v>
      </c>
      <c r="I230" s="11" t="s">
        <v>16</v>
      </c>
      <c r="J230" s="41">
        <v>44663</v>
      </c>
      <c r="K230" s="29" t="b">
        <f t="shared" si="19"/>
        <v>0</v>
      </c>
      <c r="L230" s="29" t="str">
        <f t="shared" si="21"/>
        <v>No Discount</v>
      </c>
      <c r="M230" s="18" t="str">
        <f t="shared" si="20"/>
        <v>High Profit</v>
      </c>
    </row>
    <row r="231" spans="1:13" ht="30.75" thickBot="1" x14ac:dyDescent="0.3">
      <c r="A231" s="16" t="s">
        <v>551</v>
      </c>
      <c r="B231" s="5" t="s">
        <v>99</v>
      </c>
      <c r="C231" s="5" t="s">
        <v>75</v>
      </c>
      <c r="D231" s="25" t="str">
        <f t="shared" si="18"/>
        <v>Item _Unknown_ MIL</v>
      </c>
      <c r="E231" s="27">
        <f t="shared" si="17"/>
        <v>41</v>
      </c>
      <c r="F231" s="6">
        <v>9</v>
      </c>
      <c r="G231" s="6">
        <v>369</v>
      </c>
      <c r="H231" s="5" t="s">
        <v>15</v>
      </c>
      <c r="I231" s="5" t="s">
        <v>39</v>
      </c>
      <c r="J231" s="40">
        <v>45468</v>
      </c>
      <c r="K231" s="29" t="b">
        <f t="shared" si="19"/>
        <v>0</v>
      </c>
      <c r="L231" s="29" t="str">
        <f t="shared" si="21"/>
        <v>No Discount</v>
      </c>
      <c r="M231" s="18" t="str">
        <f t="shared" si="20"/>
        <v>High Profit</v>
      </c>
    </row>
    <row r="232" spans="1:13" ht="15.75" thickBot="1" x14ac:dyDescent="0.3">
      <c r="A232" s="17" t="s">
        <v>554</v>
      </c>
      <c r="B232" s="11" t="s">
        <v>130</v>
      </c>
      <c r="C232" s="11" t="s">
        <v>13</v>
      </c>
      <c r="D232" s="25" t="str">
        <f t="shared" si="18"/>
        <v>Item _Unknown_ MIL</v>
      </c>
      <c r="E232" s="27">
        <f t="shared" si="17"/>
        <v>36.5</v>
      </c>
      <c r="F232" s="12">
        <v>7</v>
      </c>
      <c r="G232" s="12">
        <v>255.5</v>
      </c>
      <c r="H232" s="11" t="s">
        <v>15</v>
      </c>
      <c r="I232" s="11" t="s">
        <v>16</v>
      </c>
      <c r="J232" s="41">
        <v>45448</v>
      </c>
      <c r="K232" s="29" t="b">
        <f t="shared" si="19"/>
        <v>0</v>
      </c>
      <c r="L232" s="29" t="str">
        <f t="shared" si="21"/>
        <v>No Discount</v>
      </c>
      <c r="M232" s="18" t="str">
        <f t="shared" si="20"/>
        <v>High Profit</v>
      </c>
    </row>
    <row r="233" spans="1:13" ht="30.75" thickBot="1" x14ac:dyDescent="0.3">
      <c r="A233" s="16" t="s">
        <v>555</v>
      </c>
      <c r="B233" s="5" t="s">
        <v>149</v>
      </c>
      <c r="C233" s="5" t="s">
        <v>75</v>
      </c>
      <c r="D233" s="25" t="str">
        <f t="shared" si="18"/>
        <v>Item _Unknown_ FOO</v>
      </c>
      <c r="E233" s="27">
        <f t="shared" si="17"/>
        <v>21.5</v>
      </c>
      <c r="F233" s="6">
        <v>7</v>
      </c>
      <c r="G233" s="6">
        <v>150.5</v>
      </c>
      <c r="H233" s="5" t="s">
        <v>51</v>
      </c>
      <c r="I233" s="5" t="s">
        <v>16</v>
      </c>
      <c r="J233" s="40">
        <v>45015</v>
      </c>
      <c r="K233" s="29" t="b">
        <f t="shared" si="19"/>
        <v>0</v>
      </c>
      <c r="L233" s="29" t="str">
        <f t="shared" si="21"/>
        <v>No Discount</v>
      </c>
      <c r="M233" s="18" t="str">
        <f t="shared" si="20"/>
        <v>Loss</v>
      </c>
    </row>
    <row r="234" spans="1:13" ht="15.75" thickBot="1" x14ac:dyDescent="0.3">
      <c r="A234" s="17" t="s">
        <v>557</v>
      </c>
      <c r="B234" s="11" t="s">
        <v>74</v>
      </c>
      <c r="C234" s="11" t="s">
        <v>25</v>
      </c>
      <c r="D234" s="25" t="str">
        <f t="shared" si="18"/>
        <v>Item _Unknown_ ELE</v>
      </c>
      <c r="E234" s="27">
        <f t="shared" si="17"/>
        <v>12.5</v>
      </c>
      <c r="F234" s="12">
        <v>3</v>
      </c>
      <c r="G234" s="12">
        <v>37.5</v>
      </c>
      <c r="H234" s="11" t="s">
        <v>27</v>
      </c>
      <c r="I234" s="11" t="s">
        <v>39</v>
      </c>
      <c r="J234" s="41">
        <v>45523</v>
      </c>
      <c r="K234" s="29" t="b">
        <f t="shared" si="19"/>
        <v>0</v>
      </c>
      <c r="L234" s="29" t="str">
        <f t="shared" si="21"/>
        <v>No Discount</v>
      </c>
      <c r="M234" s="18" t="str">
        <f t="shared" si="20"/>
        <v>Loss</v>
      </c>
    </row>
    <row r="235" spans="1:13" ht="15.75" thickBot="1" x14ac:dyDescent="0.3">
      <c r="A235" s="16" t="s">
        <v>559</v>
      </c>
      <c r="B235" s="5" t="s">
        <v>48</v>
      </c>
      <c r="C235" s="5" t="s">
        <v>49</v>
      </c>
      <c r="D235" s="25" t="str">
        <f t="shared" si="18"/>
        <v>Item _Unknown_ ELE</v>
      </c>
      <c r="E235" s="27">
        <f t="shared" si="17"/>
        <v>21.5</v>
      </c>
      <c r="F235" s="6">
        <v>7</v>
      </c>
      <c r="G235" s="6">
        <v>150.5</v>
      </c>
      <c r="H235" s="5" t="s">
        <v>27</v>
      </c>
      <c r="I235" s="5" t="s">
        <v>39</v>
      </c>
      <c r="J235" s="40">
        <v>44652</v>
      </c>
      <c r="K235" s="29" t="b">
        <f t="shared" si="19"/>
        <v>0</v>
      </c>
      <c r="L235" s="29" t="str">
        <f t="shared" si="21"/>
        <v>No Discount</v>
      </c>
      <c r="M235" s="18" t="str">
        <f t="shared" si="20"/>
        <v>Loss</v>
      </c>
    </row>
    <row r="236" spans="1:13" ht="15.75" thickBot="1" x14ac:dyDescent="0.3">
      <c r="A236" s="17" t="s">
        <v>561</v>
      </c>
      <c r="B236" s="11" t="s">
        <v>29</v>
      </c>
      <c r="C236" s="11" t="s">
        <v>20</v>
      </c>
      <c r="D236" s="25" t="str">
        <f t="shared" si="18"/>
        <v>Item _Unknown_ PAT</v>
      </c>
      <c r="E236" s="27">
        <f t="shared" si="17"/>
        <v>6.5</v>
      </c>
      <c r="F236" s="12">
        <v>10</v>
      </c>
      <c r="G236" s="12">
        <v>65</v>
      </c>
      <c r="H236" s="11" t="s">
        <v>27</v>
      </c>
      <c r="I236" s="11" t="s">
        <v>39</v>
      </c>
      <c r="J236" s="41">
        <v>44770</v>
      </c>
      <c r="K236" s="29" t="b">
        <f t="shared" si="19"/>
        <v>0</v>
      </c>
      <c r="L236" s="29" t="str">
        <f t="shared" si="21"/>
        <v>No Discount</v>
      </c>
      <c r="M236" s="18" t="str">
        <f t="shared" si="20"/>
        <v>Loss</v>
      </c>
    </row>
    <row r="237" spans="1:13" ht="30.75" thickBot="1" x14ac:dyDescent="0.3">
      <c r="A237" s="16" t="s">
        <v>563</v>
      </c>
      <c r="B237" s="5" t="s">
        <v>37</v>
      </c>
      <c r="C237" s="5" t="s">
        <v>158</v>
      </c>
      <c r="D237" s="25" t="str">
        <f t="shared" si="18"/>
        <v>Item _Unknown_ ELE</v>
      </c>
      <c r="E237" s="27">
        <f t="shared" si="17"/>
        <v>17</v>
      </c>
      <c r="F237" s="6">
        <v>10</v>
      </c>
      <c r="G237" s="6">
        <v>170</v>
      </c>
      <c r="H237" s="5" t="s">
        <v>15</v>
      </c>
      <c r="I237" s="5" t="s">
        <v>39</v>
      </c>
      <c r="J237" s="40">
        <v>45216</v>
      </c>
      <c r="K237" s="29" t="b">
        <f t="shared" si="19"/>
        <v>0</v>
      </c>
      <c r="L237" s="29" t="str">
        <f t="shared" si="21"/>
        <v>No Discount</v>
      </c>
      <c r="M237" s="18" t="str">
        <f t="shared" si="20"/>
        <v>Loss</v>
      </c>
    </row>
    <row r="238" spans="1:13" ht="15.75" thickBot="1" x14ac:dyDescent="0.3">
      <c r="A238" s="17" t="s">
        <v>566</v>
      </c>
      <c r="B238" s="11" t="s">
        <v>117</v>
      </c>
      <c r="C238" s="11" t="s">
        <v>25</v>
      </c>
      <c r="D238" s="25" t="str">
        <f t="shared" si="18"/>
        <v>Item _Unknown_ BEV</v>
      </c>
      <c r="E238" s="27">
        <f t="shared" si="17"/>
        <v>15.5</v>
      </c>
      <c r="F238" s="12">
        <v>5</v>
      </c>
      <c r="G238" s="12">
        <v>77.5</v>
      </c>
      <c r="H238" s="11" t="s">
        <v>15</v>
      </c>
      <c r="I238" s="11" t="s">
        <v>16</v>
      </c>
      <c r="J238" s="41">
        <v>44976</v>
      </c>
      <c r="K238" s="29" t="b">
        <f t="shared" si="19"/>
        <v>0</v>
      </c>
      <c r="L238" s="29" t="str">
        <f t="shared" si="21"/>
        <v>No Discount</v>
      </c>
      <c r="M238" s="18" t="str">
        <f t="shared" si="20"/>
        <v>Loss</v>
      </c>
    </row>
    <row r="239" spans="1:13" ht="15.75" thickBot="1" x14ac:dyDescent="0.3">
      <c r="A239" s="17" t="s">
        <v>569</v>
      </c>
      <c r="B239" s="11" t="s">
        <v>60</v>
      </c>
      <c r="C239" s="11" t="s">
        <v>30</v>
      </c>
      <c r="D239" s="25" t="str">
        <f>"Item _Unknown_ "&amp;UPPER(LEFT(C236,3))</f>
        <v>Item _Unknown_ MIL</v>
      </c>
      <c r="E239" s="27">
        <f t="shared" si="17"/>
        <v>18.5</v>
      </c>
      <c r="F239" s="12">
        <v>7</v>
      </c>
      <c r="G239" s="12">
        <v>129.5</v>
      </c>
      <c r="H239" s="11" t="s">
        <v>51</v>
      </c>
      <c r="I239" s="11" t="s">
        <v>39</v>
      </c>
      <c r="J239" s="41">
        <v>45089</v>
      </c>
      <c r="K239" s="29" t="b">
        <f t="shared" si="19"/>
        <v>0</v>
      </c>
      <c r="L239" s="29" t="str">
        <f t="shared" si="21"/>
        <v>No Discount</v>
      </c>
      <c r="M239" s="18" t="str">
        <f t="shared" si="20"/>
        <v>Loss</v>
      </c>
    </row>
    <row r="240" spans="1:13" ht="15.75" thickBot="1" x14ac:dyDescent="0.3">
      <c r="A240" s="16" t="s">
        <v>570</v>
      </c>
      <c r="B240" s="5" t="s">
        <v>71</v>
      </c>
      <c r="C240" s="5" t="s">
        <v>42</v>
      </c>
      <c r="D240" s="25" t="str">
        <f>"Item _Unknown_ "&amp;UPPER(LEFT(C237,3))</f>
        <v>Item _Unknown_ COM</v>
      </c>
      <c r="E240" s="27">
        <f t="shared" si="17"/>
        <v>15.5</v>
      </c>
      <c r="F240" s="6">
        <v>1</v>
      </c>
      <c r="G240" s="6">
        <v>15.5</v>
      </c>
      <c r="H240" s="5" t="s">
        <v>27</v>
      </c>
      <c r="I240" s="5" t="s">
        <v>39</v>
      </c>
      <c r="J240" s="40">
        <v>44843</v>
      </c>
      <c r="K240" s="29" t="b">
        <f t="shared" si="19"/>
        <v>0</v>
      </c>
      <c r="L240" s="29" t="str">
        <f t="shared" si="21"/>
        <v>No Discount</v>
      </c>
      <c r="M240" s="18" t="str">
        <f t="shared" si="20"/>
        <v>Loss</v>
      </c>
    </row>
    <row r="241" spans="1:13" ht="15.75" thickBot="1" x14ac:dyDescent="0.3">
      <c r="A241" s="17" t="s">
        <v>571</v>
      </c>
      <c r="B241" s="11" t="s">
        <v>140</v>
      </c>
      <c r="C241" s="11" t="s">
        <v>42</v>
      </c>
      <c r="D241" s="25" t="str">
        <f>"Item _Unknown_ "&amp;UPPER(LEFT(C238,3))</f>
        <v>Item _Unknown_ BEV</v>
      </c>
      <c r="E241" s="27">
        <f t="shared" si="17"/>
        <v>24.5</v>
      </c>
      <c r="F241" s="12">
        <v>1</v>
      </c>
      <c r="G241" s="12">
        <v>24.5</v>
      </c>
      <c r="H241" s="11" t="s">
        <v>15</v>
      </c>
      <c r="I241" s="11" t="s">
        <v>39</v>
      </c>
      <c r="J241" s="41">
        <v>44732</v>
      </c>
      <c r="K241" s="29" t="b">
        <f t="shared" si="19"/>
        <v>0</v>
      </c>
      <c r="L241" s="29" t="str">
        <f t="shared" si="21"/>
        <v>No Discount</v>
      </c>
      <c r="M241" s="18" t="str">
        <f t="shared" si="20"/>
        <v>Loss</v>
      </c>
    </row>
    <row r="242" spans="1:13" ht="15.75" thickBot="1" x14ac:dyDescent="0.3">
      <c r="A242" s="16" t="s">
        <v>573</v>
      </c>
      <c r="B242" s="5" t="s">
        <v>78</v>
      </c>
      <c r="C242" s="5" t="s">
        <v>20</v>
      </c>
      <c r="D242" s="25" t="str">
        <f>"Item _Unknown_ "&amp;UPPER(LEFT(C233,3))</f>
        <v>Item _Unknown_ ELE</v>
      </c>
      <c r="E242" s="27">
        <f t="shared" si="17"/>
        <v>39.5</v>
      </c>
      <c r="F242" s="6">
        <v>3</v>
      </c>
      <c r="G242" s="6">
        <v>118.5</v>
      </c>
      <c r="H242" s="5" t="s">
        <v>51</v>
      </c>
      <c r="I242" s="5" t="s">
        <v>16</v>
      </c>
      <c r="J242" s="40">
        <v>44993</v>
      </c>
      <c r="K242" s="29" t="b">
        <f t="shared" si="19"/>
        <v>0</v>
      </c>
      <c r="L242" s="29" t="str">
        <f t="shared" si="21"/>
        <v>No Discount</v>
      </c>
      <c r="M242" s="18" t="str">
        <f t="shared" si="20"/>
        <v>High Profit</v>
      </c>
    </row>
    <row r="243" spans="1:13" ht="15.75" thickBot="1" x14ac:dyDescent="0.3">
      <c r="A243" s="17" t="s">
        <v>574</v>
      </c>
      <c r="B243" s="11" t="s">
        <v>94</v>
      </c>
      <c r="C243" s="11" t="s">
        <v>30</v>
      </c>
      <c r="D243" s="25" t="str">
        <f t="shared" si="18"/>
        <v>Item _Unknown_ FOO</v>
      </c>
      <c r="E243" s="27">
        <f t="shared" si="17"/>
        <v>24.5</v>
      </c>
      <c r="F243" s="12">
        <v>6</v>
      </c>
      <c r="G243" s="12">
        <v>147</v>
      </c>
      <c r="H243" s="11" t="s">
        <v>27</v>
      </c>
      <c r="I243" s="11" t="s">
        <v>16</v>
      </c>
      <c r="J243" s="41">
        <v>44986</v>
      </c>
      <c r="K243" s="29" t="b">
        <f t="shared" si="19"/>
        <v>0</v>
      </c>
      <c r="L243" s="29" t="str">
        <f t="shared" si="21"/>
        <v>No Discount</v>
      </c>
      <c r="M243" s="18" t="str">
        <f t="shared" si="20"/>
        <v>Loss</v>
      </c>
    </row>
    <row r="244" spans="1:13" ht="15.75" thickBot="1" x14ac:dyDescent="0.3">
      <c r="A244" s="17" t="s">
        <v>577</v>
      </c>
      <c r="B244" s="11" t="s">
        <v>99</v>
      </c>
      <c r="C244" s="11" t="s">
        <v>13</v>
      </c>
      <c r="D244" s="25" t="str">
        <f>"Item _Unknown_ "&amp;UPPER(LEFT(C241,3))</f>
        <v>Item _Unknown_ FUR</v>
      </c>
      <c r="E244" s="27">
        <f t="shared" si="17"/>
        <v>12.5</v>
      </c>
      <c r="F244" s="12">
        <v>3</v>
      </c>
      <c r="G244" s="12">
        <v>37.5</v>
      </c>
      <c r="H244" s="11" t="s">
        <v>51</v>
      </c>
      <c r="I244" s="11" t="s">
        <v>39</v>
      </c>
      <c r="J244" s="41">
        <v>45378</v>
      </c>
      <c r="K244" s="29" t="b">
        <f t="shared" si="19"/>
        <v>0</v>
      </c>
      <c r="L244" s="29" t="str">
        <f t="shared" si="21"/>
        <v>No Discount</v>
      </c>
      <c r="M244" s="18" t="str">
        <f t="shared" si="20"/>
        <v>Loss</v>
      </c>
    </row>
    <row r="245" spans="1:13" ht="15.75" thickBot="1" x14ac:dyDescent="0.3">
      <c r="A245" s="16" t="s">
        <v>578</v>
      </c>
      <c r="B245" s="5" t="s">
        <v>130</v>
      </c>
      <c r="C245" s="5" t="s">
        <v>49</v>
      </c>
      <c r="D245" s="25" t="str">
        <f>"Item _Unknown_ "&amp;UPPER(LEFT(C242,3))</f>
        <v>Item _Unknown_ MIL</v>
      </c>
      <c r="E245" s="27">
        <f t="shared" ref="E245:E306" si="22">G245/F245</f>
        <v>21.5</v>
      </c>
      <c r="F245" s="6">
        <v>1</v>
      </c>
      <c r="G245" s="6">
        <v>21.5</v>
      </c>
      <c r="H245" s="5" t="s">
        <v>27</v>
      </c>
      <c r="I245" s="5" t="s">
        <v>16</v>
      </c>
      <c r="J245" s="40">
        <v>45160</v>
      </c>
      <c r="K245" s="29" t="b">
        <f t="shared" si="19"/>
        <v>0</v>
      </c>
      <c r="L245" s="29" t="str">
        <f t="shared" si="21"/>
        <v>No Discount</v>
      </c>
      <c r="M245" s="18" t="str">
        <f t="shared" si="20"/>
        <v>Loss</v>
      </c>
    </row>
    <row r="246" spans="1:13" ht="15.75" thickBot="1" x14ac:dyDescent="0.3">
      <c r="A246" s="17" t="s">
        <v>580</v>
      </c>
      <c r="B246" s="11" t="s">
        <v>206</v>
      </c>
      <c r="C246" s="11" t="s">
        <v>49</v>
      </c>
      <c r="D246" s="25" t="str">
        <f>"Item _Unknown_ "&amp;UPPER(LEFT(C243,3))</f>
        <v>Item _Unknown_ FOO</v>
      </c>
      <c r="E246" s="27">
        <f t="shared" si="22"/>
        <v>15.5</v>
      </c>
      <c r="F246" s="12">
        <v>3</v>
      </c>
      <c r="G246" s="12">
        <v>46.5</v>
      </c>
      <c r="H246" s="11" t="s">
        <v>27</v>
      </c>
      <c r="I246" s="11" t="s">
        <v>39</v>
      </c>
      <c r="J246" s="41">
        <v>45524</v>
      </c>
      <c r="K246" s="29" t="b">
        <f t="shared" si="19"/>
        <v>0</v>
      </c>
      <c r="L246" s="29" t="str">
        <f t="shared" si="21"/>
        <v>No Discount</v>
      </c>
      <c r="M246" s="18" t="str">
        <f t="shared" si="20"/>
        <v>Loss</v>
      </c>
    </row>
    <row r="247" spans="1:13" ht="15.75" thickBot="1" x14ac:dyDescent="0.3">
      <c r="A247" s="16" t="s">
        <v>581</v>
      </c>
      <c r="B247" s="5" t="s">
        <v>140</v>
      </c>
      <c r="C247" s="5" t="s">
        <v>42</v>
      </c>
      <c r="D247" s="25" t="str">
        <f>"Item _Unknown_ "&amp;UPPER(LEFT(C238,3))</f>
        <v>Item _Unknown_ BEV</v>
      </c>
      <c r="E247" s="27">
        <f t="shared" si="22"/>
        <v>15.5</v>
      </c>
      <c r="F247" s="6">
        <v>5</v>
      </c>
      <c r="G247" s="6">
        <v>77.5</v>
      </c>
      <c r="H247" s="5" t="s">
        <v>27</v>
      </c>
      <c r="I247" s="5" t="s">
        <v>39</v>
      </c>
      <c r="J247" s="40">
        <v>45435</v>
      </c>
      <c r="K247" s="29" t="b">
        <f t="shared" si="19"/>
        <v>0</v>
      </c>
      <c r="L247" s="29" t="str">
        <f t="shared" si="21"/>
        <v>No Discount</v>
      </c>
      <c r="M247" s="18" t="str">
        <f t="shared" si="20"/>
        <v>Loss</v>
      </c>
    </row>
    <row r="248" spans="1:13" ht="15.75" thickBot="1" x14ac:dyDescent="0.3">
      <c r="A248" s="17" t="s">
        <v>583</v>
      </c>
      <c r="B248" s="11" t="s">
        <v>130</v>
      </c>
      <c r="C248" s="11" t="s">
        <v>20</v>
      </c>
      <c r="D248" s="25" t="str">
        <f t="shared" ref="D248:D308" si="23">"Item _Unknown_ "&amp;UPPER(LEFT(C244,3))</f>
        <v>Item _Unknown_ PAT</v>
      </c>
      <c r="E248" s="27">
        <f t="shared" si="22"/>
        <v>8</v>
      </c>
      <c r="F248" s="12">
        <v>9</v>
      </c>
      <c r="G248" s="12">
        <v>72</v>
      </c>
      <c r="H248" s="11" t="s">
        <v>51</v>
      </c>
      <c r="I248" s="11" t="s">
        <v>39</v>
      </c>
      <c r="J248" s="41">
        <v>44564</v>
      </c>
      <c r="K248" s="29" t="b">
        <f t="shared" si="19"/>
        <v>0</v>
      </c>
      <c r="L248" s="29" t="str">
        <f t="shared" si="21"/>
        <v>No Discount</v>
      </c>
      <c r="M248" s="18" t="str">
        <f t="shared" si="20"/>
        <v>Loss</v>
      </c>
    </row>
    <row r="249" spans="1:13" ht="30.75" thickBot="1" x14ac:dyDescent="0.3">
      <c r="A249" s="16" t="s">
        <v>584</v>
      </c>
      <c r="B249" s="5" t="s">
        <v>86</v>
      </c>
      <c r="C249" s="5" t="s">
        <v>158</v>
      </c>
      <c r="D249" s="25" t="str">
        <f t="shared" si="23"/>
        <v>Item _Unknown_ BUT</v>
      </c>
      <c r="E249" s="27">
        <f t="shared" si="22"/>
        <v>11</v>
      </c>
      <c r="F249" s="6">
        <v>5</v>
      </c>
      <c r="G249" s="6">
        <v>55</v>
      </c>
      <c r="H249" s="5" t="s">
        <v>51</v>
      </c>
      <c r="I249" s="5" t="s">
        <v>39</v>
      </c>
      <c r="J249" s="40">
        <v>44614</v>
      </c>
      <c r="K249" s="29" t="b">
        <f t="shared" si="19"/>
        <v>0</v>
      </c>
      <c r="L249" s="29" t="str">
        <f t="shared" si="21"/>
        <v>No Discount</v>
      </c>
      <c r="M249" s="18" t="str">
        <f t="shared" si="20"/>
        <v>Loss</v>
      </c>
    </row>
    <row r="250" spans="1:13" ht="30.75" thickBot="1" x14ac:dyDescent="0.3">
      <c r="A250" s="17" t="s">
        <v>586</v>
      </c>
      <c r="B250" s="11" t="s">
        <v>94</v>
      </c>
      <c r="C250" s="11" t="s">
        <v>158</v>
      </c>
      <c r="D250" s="25" t="str">
        <f t="shared" si="23"/>
        <v>Item _Unknown_ BUT</v>
      </c>
      <c r="E250" s="27">
        <f t="shared" si="22"/>
        <v>5</v>
      </c>
      <c r="F250" s="12">
        <v>7</v>
      </c>
      <c r="G250" s="12">
        <v>35</v>
      </c>
      <c r="H250" s="11" t="s">
        <v>27</v>
      </c>
      <c r="I250" s="11" t="s">
        <v>16</v>
      </c>
      <c r="J250" s="41">
        <v>44600</v>
      </c>
      <c r="K250" s="29" t="b">
        <f t="shared" si="19"/>
        <v>0</v>
      </c>
      <c r="L250" s="29" t="str">
        <f t="shared" si="21"/>
        <v>No Discount</v>
      </c>
      <c r="M250" s="18" t="str">
        <f t="shared" si="20"/>
        <v>Loss</v>
      </c>
    </row>
    <row r="251" spans="1:13" ht="15.75" thickBot="1" x14ac:dyDescent="0.3">
      <c r="A251" s="16" t="s">
        <v>588</v>
      </c>
      <c r="B251" s="5" t="s">
        <v>127</v>
      </c>
      <c r="C251" s="5" t="s">
        <v>13</v>
      </c>
      <c r="D251" s="25" t="str">
        <f t="shared" si="23"/>
        <v>Item _Unknown_ FUR</v>
      </c>
      <c r="E251" s="27">
        <f t="shared" si="22"/>
        <v>14</v>
      </c>
      <c r="F251" s="6">
        <v>7</v>
      </c>
      <c r="G251" s="6">
        <v>98</v>
      </c>
      <c r="H251" s="5" t="s">
        <v>51</v>
      </c>
      <c r="I251" s="5" t="s">
        <v>16</v>
      </c>
      <c r="J251" s="40">
        <v>45600</v>
      </c>
      <c r="K251" s="29" t="b">
        <f t="shared" si="19"/>
        <v>0</v>
      </c>
      <c r="L251" s="29" t="str">
        <f t="shared" si="21"/>
        <v>No Discount</v>
      </c>
      <c r="M251" s="18" t="str">
        <f t="shared" si="20"/>
        <v>Loss</v>
      </c>
    </row>
    <row r="252" spans="1:13" ht="15.75" thickBot="1" x14ac:dyDescent="0.3">
      <c r="A252" s="17" t="s">
        <v>589</v>
      </c>
      <c r="B252" s="11" t="s">
        <v>48</v>
      </c>
      <c r="C252" s="11" t="s">
        <v>20</v>
      </c>
      <c r="D252" s="25" t="str">
        <f t="shared" si="23"/>
        <v>Item _Unknown_ MIL</v>
      </c>
      <c r="E252" s="27">
        <f t="shared" si="22"/>
        <v>15.5</v>
      </c>
      <c r="F252" s="12">
        <v>2</v>
      </c>
      <c r="G252" s="12">
        <v>31</v>
      </c>
      <c r="H252" s="11" t="s">
        <v>15</v>
      </c>
      <c r="I252" s="11" t="s">
        <v>39</v>
      </c>
      <c r="J252" s="41">
        <v>45474</v>
      </c>
      <c r="K252" s="29" t="b">
        <f t="shared" si="19"/>
        <v>0</v>
      </c>
      <c r="L252" s="29" t="str">
        <f t="shared" si="21"/>
        <v>No Discount</v>
      </c>
      <c r="M252" s="18" t="str">
        <f t="shared" si="20"/>
        <v>Loss</v>
      </c>
    </row>
    <row r="253" spans="1:13" ht="15.75" thickBot="1" x14ac:dyDescent="0.3">
      <c r="A253" s="16" t="s">
        <v>590</v>
      </c>
      <c r="B253" s="5" t="s">
        <v>117</v>
      </c>
      <c r="C253" s="5" t="s">
        <v>49</v>
      </c>
      <c r="D253" s="25" t="str">
        <f t="shared" si="23"/>
        <v>Item _Unknown_ COM</v>
      </c>
      <c r="E253" s="27">
        <f t="shared" si="22"/>
        <v>38</v>
      </c>
      <c r="F253" s="6">
        <v>1</v>
      </c>
      <c r="G253" s="6">
        <v>38</v>
      </c>
      <c r="H253" s="5" t="s">
        <v>51</v>
      </c>
      <c r="I253" s="5" t="s">
        <v>39</v>
      </c>
      <c r="J253" s="40">
        <v>45549</v>
      </c>
      <c r="K253" s="29" t="b">
        <f t="shared" si="19"/>
        <v>0</v>
      </c>
      <c r="L253" s="29" t="str">
        <f t="shared" si="21"/>
        <v>No Discount</v>
      </c>
      <c r="M253" s="18" t="str">
        <f t="shared" si="20"/>
        <v>High Profit</v>
      </c>
    </row>
    <row r="254" spans="1:13" ht="30.75" thickBot="1" x14ac:dyDescent="0.3">
      <c r="A254" s="17" t="s">
        <v>592</v>
      </c>
      <c r="B254" s="11" t="s">
        <v>71</v>
      </c>
      <c r="C254" s="11" t="s">
        <v>158</v>
      </c>
      <c r="D254" s="25" t="str">
        <f t="shared" si="23"/>
        <v>Item _Unknown_ COM</v>
      </c>
      <c r="E254" s="27">
        <f t="shared" si="22"/>
        <v>12.5</v>
      </c>
      <c r="F254" s="12">
        <v>1</v>
      </c>
      <c r="G254" s="12">
        <v>12.5</v>
      </c>
      <c r="H254" s="11" t="s">
        <v>15</v>
      </c>
      <c r="I254" s="11" t="s">
        <v>39</v>
      </c>
      <c r="J254" s="41">
        <v>45327</v>
      </c>
      <c r="K254" s="29" t="b">
        <f t="shared" si="19"/>
        <v>0</v>
      </c>
      <c r="L254" s="29" t="str">
        <f t="shared" si="21"/>
        <v>No Discount</v>
      </c>
      <c r="M254" s="18" t="str">
        <f t="shared" si="20"/>
        <v>Loss</v>
      </c>
    </row>
    <row r="255" spans="1:13" ht="15.75" thickBot="1" x14ac:dyDescent="0.3">
      <c r="A255" s="16" t="s">
        <v>593</v>
      </c>
      <c r="B255" s="5" t="s">
        <v>74</v>
      </c>
      <c r="C255" s="5" t="s">
        <v>20</v>
      </c>
      <c r="D255" s="25" t="str">
        <f t="shared" si="23"/>
        <v>Item _Unknown_ PAT</v>
      </c>
      <c r="E255" s="27">
        <f t="shared" si="22"/>
        <v>11</v>
      </c>
      <c r="F255" s="6">
        <v>9</v>
      </c>
      <c r="G255" s="6">
        <v>99</v>
      </c>
      <c r="H255" s="5" t="s">
        <v>15</v>
      </c>
      <c r="I255" s="5" t="s">
        <v>39</v>
      </c>
      <c r="J255" s="40">
        <v>44883</v>
      </c>
      <c r="K255" s="29" t="b">
        <f t="shared" si="19"/>
        <v>0</v>
      </c>
      <c r="L255" s="29" t="str">
        <f t="shared" si="21"/>
        <v>No Discount</v>
      </c>
      <c r="M255" s="18" t="str">
        <f t="shared" si="20"/>
        <v>Loss</v>
      </c>
    </row>
    <row r="256" spans="1:13" ht="30.75" thickBot="1" x14ac:dyDescent="0.3">
      <c r="A256" s="17" t="s">
        <v>595</v>
      </c>
      <c r="B256" s="11" t="s">
        <v>94</v>
      </c>
      <c r="C256" s="11" t="s">
        <v>158</v>
      </c>
      <c r="D256" s="25" t="str">
        <f t="shared" si="23"/>
        <v>Item _Unknown_ MIL</v>
      </c>
      <c r="E256" s="27">
        <f t="shared" si="22"/>
        <v>17</v>
      </c>
      <c r="F256" s="12">
        <v>10</v>
      </c>
      <c r="G256" s="12">
        <v>170</v>
      </c>
      <c r="H256" s="11" t="s">
        <v>27</v>
      </c>
      <c r="I256" s="11" t="s">
        <v>39</v>
      </c>
      <c r="J256" s="41">
        <v>45598</v>
      </c>
      <c r="K256" s="29" t="b">
        <f t="shared" si="19"/>
        <v>0</v>
      </c>
      <c r="L256" s="29" t="str">
        <f t="shared" si="21"/>
        <v>No Discount</v>
      </c>
      <c r="M256" s="18" t="str">
        <f t="shared" si="20"/>
        <v>Loss</v>
      </c>
    </row>
    <row r="257" spans="1:13" ht="15.75" thickBot="1" x14ac:dyDescent="0.3">
      <c r="A257" s="16" t="s">
        <v>596</v>
      </c>
      <c r="B257" s="5" t="s">
        <v>44</v>
      </c>
      <c r="C257" s="5" t="s">
        <v>42</v>
      </c>
      <c r="D257" s="25" t="str">
        <f t="shared" si="23"/>
        <v>Item _Unknown_ BUT</v>
      </c>
      <c r="E257" s="27">
        <f t="shared" si="22"/>
        <v>41</v>
      </c>
      <c r="F257" s="6">
        <v>3</v>
      </c>
      <c r="G257" s="6">
        <v>123</v>
      </c>
      <c r="H257" s="5" t="s">
        <v>51</v>
      </c>
      <c r="I257" s="5" t="s">
        <v>39</v>
      </c>
      <c r="J257" s="40">
        <v>45553</v>
      </c>
      <c r="K257" s="29" t="b">
        <f t="shared" si="19"/>
        <v>0</v>
      </c>
      <c r="L257" s="29" t="str">
        <f t="shared" si="21"/>
        <v>No Discount</v>
      </c>
      <c r="M257" s="18" t="str">
        <f t="shared" si="20"/>
        <v>High Profit</v>
      </c>
    </row>
    <row r="258" spans="1:13" ht="30.75" thickBot="1" x14ac:dyDescent="0.3">
      <c r="A258" s="17" t="s">
        <v>598</v>
      </c>
      <c r="B258" s="11" t="s">
        <v>29</v>
      </c>
      <c r="C258" s="11" t="s">
        <v>158</v>
      </c>
      <c r="D258" s="25" t="str">
        <f t="shared" si="23"/>
        <v>Item _Unknown_ COM</v>
      </c>
      <c r="E258" s="27">
        <f t="shared" si="22"/>
        <v>32</v>
      </c>
      <c r="F258" s="12">
        <v>4</v>
      </c>
      <c r="G258" s="12">
        <v>128</v>
      </c>
      <c r="H258" s="11" t="s">
        <v>51</v>
      </c>
      <c r="I258" s="11" t="s">
        <v>39</v>
      </c>
      <c r="J258" s="41">
        <v>45634</v>
      </c>
      <c r="K258" s="29" t="b">
        <f t="shared" ref="K258:K321" si="24">IF(ROUND(E258*F258,2)=G258,FALSE,TRUE)</f>
        <v>0</v>
      </c>
      <c r="L258" s="29" t="str">
        <f t="shared" si="21"/>
        <v>No Discount</v>
      </c>
      <c r="M258" s="18" t="str">
        <f t="shared" ref="M258:M321" si="25">IF(E258&gt;=35,"High Profit",IF(E258&gt;=25,"Medium","Loss"))</f>
        <v>Medium</v>
      </c>
    </row>
    <row r="259" spans="1:13" ht="15.75" thickBot="1" x14ac:dyDescent="0.3">
      <c r="A259" s="16" t="s">
        <v>599</v>
      </c>
      <c r="B259" s="5" t="s">
        <v>206</v>
      </c>
      <c r="C259" s="5" t="s">
        <v>42</v>
      </c>
      <c r="D259" s="25" t="str">
        <f t="shared" si="23"/>
        <v>Item _Unknown_ MIL</v>
      </c>
      <c r="E259" s="27">
        <f t="shared" si="22"/>
        <v>26</v>
      </c>
      <c r="F259" s="6">
        <v>9</v>
      </c>
      <c r="G259" s="6">
        <v>234</v>
      </c>
      <c r="H259" s="5" t="s">
        <v>51</v>
      </c>
      <c r="I259" s="5" t="s">
        <v>39</v>
      </c>
      <c r="J259" s="40">
        <v>44575</v>
      </c>
      <c r="K259" s="29" t="b">
        <f t="shared" si="24"/>
        <v>0</v>
      </c>
      <c r="L259" s="29" t="str">
        <f t="shared" ref="L259:L322" si="26">IF(K259=FALSE,"No Discount","Discount Applied")</f>
        <v>No Discount</v>
      </c>
      <c r="M259" s="18" t="str">
        <f t="shared" si="25"/>
        <v>Medium</v>
      </c>
    </row>
    <row r="260" spans="1:13" ht="15.75" thickBot="1" x14ac:dyDescent="0.3">
      <c r="A260" s="17" t="s">
        <v>602</v>
      </c>
      <c r="B260" s="11" t="s">
        <v>78</v>
      </c>
      <c r="C260" s="11" t="s">
        <v>13</v>
      </c>
      <c r="D260" s="25" t="str">
        <f t="shared" si="23"/>
        <v>Item _Unknown_ COM</v>
      </c>
      <c r="E260" s="27">
        <f t="shared" si="22"/>
        <v>26</v>
      </c>
      <c r="F260" s="12">
        <v>9</v>
      </c>
      <c r="G260" s="12">
        <v>234</v>
      </c>
      <c r="H260" s="11" t="s">
        <v>15</v>
      </c>
      <c r="I260" s="11" t="s">
        <v>39</v>
      </c>
      <c r="J260" s="41">
        <v>45613</v>
      </c>
      <c r="K260" s="29" t="b">
        <f t="shared" si="24"/>
        <v>0</v>
      </c>
      <c r="L260" s="29" t="str">
        <f t="shared" si="26"/>
        <v>No Discount</v>
      </c>
      <c r="M260" s="18" t="str">
        <f t="shared" si="25"/>
        <v>Medium</v>
      </c>
    </row>
    <row r="261" spans="1:13" ht="15.75" thickBot="1" x14ac:dyDescent="0.3">
      <c r="A261" s="17" t="s">
        <v>606</v>
      </c>
      <c r="B261" s="11" t="s">
        <v>206</v>
      </c>
      <c r="C261" s="11" t="s">
        <v>25</v>
      </c>
      <c r="D261" s="25" t="str">
        <f>"Item _Unknown_ "&amp;UPPER(LEFT(C258,3))</f>
        <v>Item _Unknown_ COM</v>
      </c>
      <c r="E261" s="27">
        <f t="shared" si="22"/>
        <v>6.5</v>
      </c>
      <c r="F261" s="12">
        <v>9</v>
      </c>
      <c r="G261" s="12">
        <v>58.5</v>
      </c>
      <c r="H261" s="11" t="s">
        <v>15</v>
      </c>
      <c r="I261" s="11" t="s">
        <v>16</v>
      </c>
      <c r="J261" s="41">
        <v>45289</v>
      </c>
      <c r="K261" s="29" t="b">
        <f t="shared" si="24"/>
        <v>0</v>
      </c>
      <c r="L261" s="29" t="str">
        <f t="shared" si="26"/>
        <v>No Discount</v>
      </c>
      <c r="M261" s="18" t="str">
        <f t="shared" si="25"/>
        <v>Loss</v>
      </c>
    </row>
    <row r="262" spans="1:13" ht="15.75" thickBot="1" x14ac:dyDescent="0.3">
      <c r="A262" s="16" t="s">
        <v>608</v>
      </c>
      <c r="B262" s="5" t="s">
        <v>136</v>
      </c>
      <c r="C262" s="5" t="s">
        <v>25</v>
      </c>
      <c r="D262" s="25" t="str">
        <f>"Item _Unknown_ "&amp;UPPER(LEFT(C259,3))</f>
        <v>Item _Unknown_ FUR</v>
      </c>
      <c r="E262" s="27">
        <f t="shared" si="22"/>
        <v>6.5</v>
      </c>
      <c r="F262" s="6">
        <v>1</v>
      </c>
      <c r="G262" s="6">
        <v>6.5</v>
      </c>
      <c r="H262" s="5" t="s">
        <v>51</v>
      </c>
      <c r="I262" s="5" t="s">
        <v>39</v>
      </c>
      <c r="J262" s="40">
        <v>45433</v>
      </c>
      <c r="K262" s="29" t="b">
        <f t="shared" si="24"/>
        <v>0</v>
      </c>
      <c r="L262" s="29" t="str">
        <f t="shared" si="26"/>
        <v>No Discount</v>
      </c>
      <c r="M262" s="18" t="str">
        <f t="shared" si="25"/>
        <v>Loss</v>
      </c>
    </row>
    <row r="263" spans="1:13" ht="15.75" thickBot="1" x14ac:dyDescent="0.3">
      <c r="A263" s="17" t="s">
        <v>610</v>
      </c>
      <c r="B263" s="11" t="s">
        <v>106</v>
      </c>
      <c r="C263" s="11" t="s">
        <v>25</v>
      </c>
      <c r="D263" s="25" t="str">
        <f>"Item _Unknown_ "&amp;UPPER(LEFT(C260,3))</f>
        <v>Item _Unknown_ PAT</v>
      </c>
      <c r="E263" s="27">
        <f t="shared" si="22"/>
        <v>8</v>
      </c>
      <c r="F263" s="12">
        <v>6</v>
      </c>
      <c r="G263" s="12">
        <v>48</v>
      </c>
      <c r="H263" s="11" t="s">
        <v>51</v>
      </c>
      <c r="I263" s="11" t="s">
        <v>16</v>
      </c>
      <c r="J263" s="41">
        <v>45348</v>
      </c>
      <c r="K263" s="29" t="b">
        <f t="shared" si="24"/>
        <v>0</v>
      </c>
      <c r="L263" s="29" t="str">
        <f t="shared" si="26"/>
        <v>No Discount</v>
      </c>
      <c r="M263" s="18" t="str">
        <f t="shared" si="25"/>
        <v>Loss</v>
      </c>
    </row>
    <row r="264" spans="1:13" ht="30.75" thickBot="1" x14ac:dyDescent="0.3">
      <c r="A264" s="16" t="s">
        <v>612</v>
      </c>
      <c r="B264" s="5" t="s">
        <v>44</v>
      </c>
      <c r="C264" s="5" t="s">
        <v>158</v>
      </c>
      <c r="D264" s="25" t="str">
        <f>"Item _Unknown_ "&amp;UPPER(LEFT(C255,3))</f>
        <v>Item _Unknown_ MIL</v>
      </c>
      <c r="E264" s="27">
        <f t="shared" si="22"/>
        <v>18.5</v>
      </c>
      <c r="F264" s="6">
        <v>7</v>
      </c>
      <c r="G264" s="6">
        <v>129.5</v>
      </c>
      <c r="H264" s="5" t="s">
        <v>15</v>
      </c>
      <c r="I264" s="5" t="s">
        <v>16</v>
      </c>
      <c r="J264" s="40">
        <v>45556</v>
      </c>
      <c r="K264" s="29" t="b">
        <f t="shared" si="24"/>
        <v>0</v>
      </c>
      <c r="L264" s="29" t="str">
        <f t="shared" si="26"/>
        <v>No Discount</v>
      </c>
      <c r="M264" s="18" t="str">
        <f t="shared" si="25"/>
        <v>Loss</v>
      </c>
    </row>
    <row r="265" spans="1:13" ht="15.75" thickBot="1" x14ac:dyDescent="0.3">
      <c r="A265" s="17" t="s">
        <v>614</v>
      </c>
      <c r="B265" s="11" t="s">
        <v>136</v>
      </c>
      <c r="C265" s="11" t="s">
        <v>13</v>
      </c>
      <c r="D265" s="25" t="str">
        <f t="shared" si="23"/>
        <v>Item _Unknown_ BEV</v>
      </c>
      <c r="E265" s="27">
        <f t="shared" si="22"/>
        <v>39.5</v>
      </c>
      <c r="F265" s="12">
        <v>6</v>
      </c>
      <c r="G265" s="12">
        <v>237</v>
      </c>
      <c r="H265" s="11" t="s">
        <v>15</v>
      </c>
      <c r="I265" s="11" t="s">
        <v>16</v>
      </c>
      <c r="J265" s="41">
        <v>45393</v>
      </c>
      <c r="K265" s="29" t="b">
        <f t="shared" si="24"/>
        <v>0</v>
      </c>
      <c r="L265" s="29" t="str">
        <f t="shared" si="26"/>
        <v>No Discount</v>
      </c>
      <c r="M265" s="18" t="str">
        <f t="shared" si="25"/>
        <v>High Profit</v>
      </c>
    </row>
    <row r="266" spans="1:13" ht="30.75" thickBot="1" x14ac:dyDescent="0.3">
      <c r="A266" s="16" t="s">
        <v>615</v>
      </c>
      <c r="B266" s="5" t="s">
        <v>117</v>
      </c>
      <c r="C266" s="5" t="s">
        <v>158</v>
      </c>
      <c r="D266" s="25" t="str">
        <f t="shared" si="23"/>
        <v>Item _Unknown_ BEV</v>
      </c>
      <c r="E266" s="27">
        <f t="shared" si="22"/>
        <v>11</v>
      </c>
      <c r="F266" s="6">
        <v>5</v>
      </c>
      <c r="G266" s="6">
        <v>55</v>
      </c>
      <c r="H266" s="5" t="s">
        <v>51</v>
      </c>
      <c r="I266" s="5" t="s">
        <v>39</v>
      </c>
      <c r="J266" s="40">
        <v>44901</v>
      </c>
      <c r="K266" s="29" t="b">
        <f t="shared" si="24"/>
        <v>0</v>
      </c>
      <c r="L266" s="29" t="str">
        <f t="shared" si="26"/>
        <v>No Discount</v>
      </c>
      <c r="M266" s="18" t="str">
        <f t="shared" si="25"/>
        <v>Loss</v>
      </c>
    </row>
    <row r="267" spans="1:13" ht="30.75" thickBot="1" x14ac:dyDescent="0.3">
      <c r="A267" s="17" t="s">
        <v>616</v>
      </c>
      <c r="B267" s="11" t="s">
        <v>78</v>
      </c>
      <c r="C267" s="11" t="s">
        <v>75</v>
      </c>
      <c r="D267" s="25" t="str">
        <f t="shared" si="23"/>
        <v>Item _Unknown_ BEV</v>
      </c>
      <c r="E267" s="27">
        <f t="shared" si="22"/>
        <v>11</v>
      </c>
      <c r="F267" s="12">
        <v>6</v>
      </c>
      <c r="G267" s="12">
        <v>66</v>
      </c>
      <c r="H267" s="11" t="s">
        <v>15</v>
      </c>
      <c r="I267" s="11" t="s">
        <v>39</v>
      </c>
      <c r="J267" s="41">
        <v>44825</v>
      </c>
      <c r="K267" s="29" t="b">
        <f t="shared" si="24"/>
        <v>0</v>
      </c>
      <c r="L267" s="29" t="str">
        <f t="shared" si="26"/>
        <v>No Discount</v>
      </c>
      <c r="M267" s="18" t="str">
        <f t="shared" si="25"/>
        <v>Loss</v>
      </c>
    </row>
    <row r="268" spans="1:13" ht="15.75" thickBot="1" x14ac:dyDescent="0.3">
      <c r="A268" s="16" t="s">
        <v>619</v>
      </c>
      <c r="B268" s="5" t="s">
        <v>29</v>
      </c>
      <c r="C268" s="5" t="s">
        <v>25</v>
      </c>
      <c r="D268" s="25" t="str">
        <f t="shared" si="23"/>
        <v>Item _Unknown_ COM</v>
      </c>
      <c r="E268" s="27">
        <f t="shared" si="22"/>
        <v>5</v>
      </c>
      <c r="F268" s="6">
        <v>10</v>
      </c>
      <c r="G268" s="6">
        <v>50</v>
      </c>
      <c r="H268" s="5" t="s">
        <v>15</v>
      </c>
      <c r="I268" s="5" t="s">
        <v>16</v>
      </c>
      <c r="J268" s="40">
        <v>45008</v>
      </c>
      <c r="K268" s="29" t="b">
        <f t="shared" si="24"/>
        <v>0</v>
      </c>
      <c r="L268" s="29" t="str">
        <f t="shared" si="26"/>
        <v>No Discount</v>
      </c>
      <c r="M268" s="18" t="str">
        <f t="shared" si="25"/>
        <v>Loss</v>
      </c>
    </row>
    <row r="269" spans="1:13" ht="15.75" thickBot="1" x14ac:dyDescent="0.3">
      <c r="A269" s="17" t="s">
        <v>622</v>
      </c>
      <c r="B269" s="11" t="s">
        <v>106</v>
      </c>
      <c r="C269" s="11" t="s">
        <v>25</v>
      </c>
      <c r="D269" s="25" t="str">
        <f t="shared" si="23"/>
        <v>Item _Unknown_ PAT</v>
      </c>
      <c r="E269" s="27">
        <f t="shared" si="22"/>
        <v>38</v>
      </c>
      <c r="F269" s="12">
        <v>7</v>
      </c>
      <c r="G269" s="12">
        <v>266</v>
      </c>
      <c r="H269" s="11" t="s">
        <v>15</v>
      </c>
      <c r="I269" s="11" t="s">
        <v>39</v>
      </c>
      <c r="J269" s="41">
        <v>44875</v>
      </c>
      <c r="K269" s="29" t="b">
        <f t="shared" si="24"/>
        <v>0</v>
      </c>
      <c r="L269" s="29" t="str">
        <f t="shared" si="26"/>
        <v>No Discount</v>
      </c>
      <c r="M269" s="18" t="str">
        <f t="shared" si="25"/>
        <v>High Profit</v>
      </c>
    </row>
    <row r="270" spans="1:13" ht="15.75" thickBot="1" x14ac:dyDescent="0.3">
      <c r="A270" s="16" t="s">
        <v>623</v>
      </c>
      <c r="B270" s="5" t="s">
        <v>37</v>
      </c>
      <c r="C270" s="5" t="s">
        <v>49</v>
      </c>
      <c r="D270" s="25" t="str">
        <f t="shared" si="23"/>
        <v>Item _Unknown_ COM</v>
      </c>
      <c r="E270" s="27">
        <f t="shared" si="22"/>
        <v>23</v>
      </c>
      <c r="F270" s="6">
        <v>6</v>
      </c>
      <c r="G270" s="6">
        <v>138</v>
      </c>
      <c r="H270" s="5" t="s">
        <v>51</v>
      </c>
      <c r="I270" s="5" t="s">
        <v>39</v>
      </c>
      <c r="J270" s="40">
        <v>45114</v>
      </c>
      <c r="K270" s="29" t="b">
        <f t="shared" si="24"/>
        <v>0</v>
      </c>
      <c r="L270" s="29" t="str">
        <f t="shared" si="26"/>
        <v>No Discount</v>
      </c>
      <c r="M270" s="18" t="str">
        <f t="shared" si="25"/>
        <v>Loss</v>
      </c>
    </row>
    <row r="271" spans="1:13" ht="15.75" thickBot="1" x14ac:dyDescent="0.3">
      <c r="A271" s="17" t="s">
        <v>624</v>
      </c>
      <c r="B271" s="11" t="s">
        <v>94</v>
      </c>
      <c r="C271" s="11" t="s">
        <v>49</v>
      </c>
      <c r="D271" s="25" t="str">
        <f t="shared" si="23"/>
        <v>Item _Unknown_ ELE</v>
      </c>
      <c r="E271" s="27">
        <f t="shared" si="22"/>
        <v>29</v>
      </c>
      <c r="F271" s="12">
        <v>1</v>
      </c>
      <c r="G271" s="12">
        <v>29</v>
      </c>
      <c r="H271" s="11" t="s">
        <v>15</v>
      </c>
      <c r="I271" s="11" t="s">
        <v>39</v>
      </c>
      <c r="J271" s="41">
        <v>44874</v>
      </c>
      <c r="K271" s="29" t="b">
        <f t="shared" si="24"/>
        <v>0</v>
      </c>
      <c r="L271" s="29" t="str">
        <f t="shared" si="26"/>
        <v>No Discount</v>
      </c>
      <c r="M271" s="18" t="str">
        <f t="shared" si="25"/>
        <v>Medium</v>
      </c>
    </row>
    <row r="272" spans="1:13" ht="15.75" thickBot="1" x14ac:dyDescent="0.3">
      <c r="A272" s="16" t="s">
        <v>626</v>
      </c>
      <c r="B272" s="5" t="s">
        <v>19</v>
      </c>
      <c r="C272" s="5" t="s">
        <v>49</v>
      </c>
      <c r="D272" s="25" t="str">
        <f t="shared" si="23"/>
        <v>Item _Unknown_ BEV</v>
      </c>
      <c r="E272" s="27">
        <f t="shared" si="22"/>
        <v>33.5</v>
      </c>
      <c r="F272" s="6">
        <v>5</v>
      </c>
      <c r="G272" s="6">
        <v>167.5</v>
      </c>
      <c r="H272" s="5" t="s">
        <v>27</v>
      </c>
      <c r="I272" s="5" t="s">
        <v>16</v>
      </c>
      <c r="J272" s="40">
        <v>45409</v>
      </c>
      <c r="K272" s="29" t="b">
        <f t="shared" si="24"/>
        <v>0</v>
      </c>
      <c r="L272" s="29" t="str">
        <f t="shared" si="26"/>
        <v>No Discount</v>
      </c>
      <c r="M272" s="18" t="str">
        <f t="shared" si="25"/>
        <v>Medium</v>
      </c>
    </row>
    <row r="273" spans="1:13" ht="15.75" thickBot="1" x14ac:dyDescent="0.3">
      <c r="A273" s="17" t="s">
        <v>627</v>
      </c>
      <c r="B273" s="11" t="s">
        <v>29</v>
      </c>
      <c r="C273" s="11" t="s">
        <v>20</v>
      </c>
      <c r="D273" s="25" t="str">
        <f t="shared" si="23"/>
        <v>Item _Unknown_ BEV</v>
      </c>
      <c r="E273" s="27">
        <f t="shared" si="22"/>
        <v>32</v>
      </c>
      <c r="F273" s="12">
        <v>9</v>
      </c>
      <c r="G273" s="12">
        <v>288</v>
      </c>
      <c r="H273" s="11" t="s">
        <v>15</v>
      </c>
      <c r="I273" s="11" t="s">
        <v>16</v>
      </c>
      <c r="J273" s="41">
        <v>44793</v>
      </c>
      <c r="K273" s="29" t="b">
        <f t="shared" si="24"/>
        <v>0</v>
      </c>
      <c r="L273" s="29" t="str">
        <f t="shared" si="26"/>
        <v>No Discount</v>
      </c>
      <c r="M273" s="18" t="str">
        <f t="shared" si="25"/>
        <v>Medium</v>
      </c>
    </row>
    <row r="274" spans="1:13" ht="15.75" thickBot="1" x14ac:dyDescent="0.3">
      <c r="A274" s="16" t="s">
        <v>629</v>
      </c>
      <c r="B274" s="5" t="s">
        <v>206</v>
      </c>
      <c r="C274" s="5" t="s">
        <v>20</v>
      </c>
      <c r="D274" s="25" t="str">
        <f t="shared" si="23"/>
        <v>Item _Unknown_ BUT</v>
      </c>
      <c r="E274" s="27">
        <f t="shared" si="22"/>
        <v>39.5</v>
      </c>
      <c r="F274" s="6">
        <v>4</v>
      </c>
      <c r="G274" s="6">
        <v>158</v>
      </c>
      <c r="H274" s="5" t="s">
        <v>27</v>
      </c>
      <c r="I274" s="5" t="s">
        <v>16</v>
      </c>
      <c r="J274" s="40">
        <v>45128</v>
      </c>
      <c r="K274" s="29" t="b">
        <f t="shared" si="24"/>
        <v>0</v>
      </c>
      <c r="L274" s="29" t="str">
        <f t="shared" si="26"/>
        <v>No Discount</v>
      </c>
      <c r="M274" s="18" t="str">
        <f t="shared" si="25"/>
        <v>High Profit</v>
      </c>
    </row>
    <row r="275" spans="1:13" ht="15.75" thickBot="1" x14ac:dyDescent="0.3">
      <c r="A275" s="16" t="s">
        <v>632</v>
      </c>
      <c r="B275" s="5" t="s">
        <v>41</v>
      </c>
      <c r="C275" s="5" t="s">
        <v>20</v>
      </c>
      <c r="D275" s="25" t="str">
        <f>"Item _Unknown_ "&amp;UPPER(LEFT(C272,3))</f>
        <v>Item _Unknown_ BUT</v>
      </c>
      <c r="E275" s="27">
        <f t="shared" si="22"/>
        <v>33.5</v>
      </c>
      <c r="F275" s="6">
        <v>8</v>
      </c>
      <c r="G275" s="6">
        <v>268</v>
      </c>
      <c r="H275" s="5" t="s">
        <v>15</v>
      </c>
      <c r="I275" s="5" t="s">
        <v>16</v>
      </c>
      <c r="J275" s="40">
        <v>44844</v>
      </c>
      <c r="K275" s="29" t="b">
        <f t="shared" si="24"/>
        <v>0</v>
      </c>
      <c r="L275" s="29" t="str">
        <f t="shared" si="26"/>
        <v>No Discount</v>
      </c>
      <c r="M275" s="18" t="str">
        <f t="shared" si="25"/>
        <v>Medium</v>
      </c>
    </row>
    <row r="276" spans="1:13" ht="30.75" thickBot="1" x14ac:dyDescent="0.3">
      <c r="A276" s="17" t="s">
        <v>633</v>
      </c>
      <c r="B276" s="11" t="s">
        <v>12</v>
      </c>
      <c r="C276" s="11" t="s">
        <v>75</v>
      </c>
      <c r="D276" s="25" t="str">
        <f>"Item _Unknown_ "&amp;UPPER(LEFT(C273,3))</f>
        <v>Item _Unknown_ MIL</v>
      </c>
      <c r="E276" s="27">
        <f t="shared" si="22"/>
        <v>12.5</v>
      </c>
      <c r="F276" s="12">
        <v>4</v>
      </c>
      <c r="G276" s="12">
        <v>50</v>
      </c>
      <c r="H276" s="11" t="s">
        <v>15</v>
      </c>
      <c r="I276" s="11" t="s">
        <v>39</v>
      </c>
      <c r="J276" s="41">
        <v>44933</v>
      </c>
      <c r="K276" s="29" t="b">
        <f t="shared" si="24"/>
        <v>0</v>
      </c>
      <c r="L276" s="29" t="str">
        <f t="shared" si="26"/>
        <v>No Discount</v>
      </c>
      <c r="M276" s="18" t="str">
        <f t="shared" si="25"/>
        <v>Loss</v>
      </c>
    </row>
    <row r="277" spans="1:13" ht="15.75" thickBot="1" x14ac:dyDescent="0.3">
      <c r="A277" s="16" t="s">
        <v>634</v>
      </c>
      <c r="B277" s="5" t="s">
        <v>41</v>
      </c>
      <c r="C277" s="5" t="s">
        <v>25</v>
      </c>
      <c r="D277" s="25" t="str">
        <f>"Item _Unknown_ "&amp;UPPER(LEFT(C274,3))</f>
        <v>Item _Unknown_ MIL</v>
      </c>
      <c r="E277" s="27">
        <f t="shared" si="22"/>
        <v>8</v>
      </c>
      <c r="F277" s="6">
        <v>8</v>
      </c>
      <c r="G277" s="6">
        <v>64</v>
      </c>
      <c r="H277" s="5" t="s">
        <v>15</v>
      </c>
      <c r="I277" s="5" t="s">
        <v>16</v>
      </c>
      <c r="J277" s="40">
        <v>45369</v>
      </c>
      <c r="K277" s="29" t="b">
        <f t="shared" si="24"/>
        <v>0</v>
      </c>
      <c r="L277" s="29" t="str">
        <f t="shared" si="26"/>
        <v>No Discount</v>
      </c>
      <c r="M277" s="18" t="str">
        <f t="shared" si="25"/>
        <v>Loss</v>
      </c>
    </row>
    <row r="278" spans="1:13" ht="15.75" thickBot="1" x14ac:dyDescent="0.3">
      <c r="A278" s="17" t="s">
        <v>637</v>
      </c>
      <c r="B278" s="11" t="s">
        <v>78</v>
      </c>
      <c r="C278" s="11" t="s">
        <v>49</v>
      </c>
      <c r="D278" s="25" t="str">
        <f>"Item _Unknown_ "&amp;UPPER(LEFT(C269,3))</f>
        <v>Item _Unknown_ BEV</v>
      </c>
      <c r="E278" s="27">
        <f t="shared" si="22"/>
        <v>15.5</v>
      </c>
      <c r="F278" s="12">
        <v>1</v>
      </c>
      <c r="G278" s="12">
        <v>15.5</v>
      </c>
      <c r="H278" s="11" t="s">
        <v>15</v>
      </c>
      <c r="I278" s="11" t="s">
        <v>16</v>
      </c>
      <c r="J278" s="41">
        <v>45389</v>
      </c>
      <c r="K278" s="29" t="b">
        <f t="shared" si="24"/>
        <v>0</v>
      </c>
      <c r="L278" s="29" t="str">
        <f t="shared" si="26"/>
        <v>No Discount</v>
      </c>
      <c r="M278" s="18" t="str">
        <f t="shared" si="25"/>
        <v>Loss</v>
      </c>
    </row>
    <row r="279" spans="1:13" ht="15.75" thickBot="1" x14ac:dyDescent="0.3">
      <c r="A279" s="16" t="s">
        <v>638</v>
      </c>
      <c r="B279" s="5" t="s">
        <v>78</v>
      </c>
      <c r="C279" s="5" t="s">
        <v>20</v>
      </c>
      <c r="D279" s="25" t="str">
        <f t="shared" si="23"/>
        <v>Item _Unknown_ MIL</v>
      </c>
      <c r="E279" s="27">
        <f t="shared" si="22"/>
        <v>32</v>
      </c>
      <c r="F279" s="6">
        <v>4</v>
      </c>
      <c r="G279" s="6">
        <v>128</v>
      </c>
      <c r="H279" s="5" t="s">
        <v>27</v>
      </c>
      <c r="I279" s="5" t="s">
        <v>39</v>
      </c>
      <c r="J279" s="40">
        <v>44844</v>
      </c>
      <c r="K279" s="29" t="b">
        <f t="shared" si="24"/>
        <v>0</v>
      </c>
      <c r="L279" s="29" t="str">
        <f t="shared" si="26"/>
        <v>No Discount</v>
      </c>
      <c r="M279" s="18" t="str">
        <f t="shared" si="25"/>
        <v>Medium</v>
      </c>
    </row>
    <row r="280" spans="1:13" ht="15.75" thickBot="1" x14ac:dyDescent="0.3">
      <c r="A280" s="17" t="s">
        <v>639</v>
      </c>
      <c r="B280" s="11" t="s">
        <v>130</v>
      </c>
      <c r="C280" s="11" t="s">
        <v>30</v>
      </c>
      <c r="D280" s="25" t="str">
        <f t="shared" si="23"/>
        <v>Item _Unknown_ ELE</v>
      </c>
      <c r="E280" s="27">
        <f t="shared" si="22"/>
        <v>23</v>
      </c>
      <c r="F280" s="12">
        <v>5</v>
      </c>
      <c r="G280" s="12">
        <v>115</v>
      </c>
      <c r="H280" s="11" t="s">
        <v>51</v>
      </c>
      <c r="I280" s="11" t="s">
        <v>39</v>
      </c>
      <c r="J280" s="41">
        <v>45365</v>
      </c>
      <c r="K280" s="29" t="b">
        <f t="shared" si="24"/>
        <v>0</v>
      </c>
      <c r="L280" s="29" t="str">
        <f t="shared" si="26"/>
        <v>No Discount</v>
      </c>
      <c r="M280" s="18" t="str">
        <f t="shared" si="25"/>
        <v>Loss</v>
      </c>
    </row>
    <row r="281" spans="1:13" ht="15.75" thickBot="1" x14ac:dyDescent="0.3">
      <c r="A281" s="16" t="s">
        <v>641</v>
      </c>
      <c r="B281" s="5" t="s">
        <v>99</v>
      </c>
      <c r="C281" s="5" t="s">
        <v>25</v>
      </c>
      <c r="D281" s="25" t="str">
        <f t="shared" si="23"/>
        <v>Item _Unknown_ BEV</v>
      </c>
      <c r="E281" s="27">
        <f t="shared" si="22"/>
        <v>32</v>
      </c>
      <c r="F281" s="6">
        <v>1</v>
      </c>
      <c r="G281" s="6">
        <v>32</v>
      </c>
      <c r="H281" s="5" t="s">
        <v>15</v>
      </c>
      <c r="I281" s="5" t="s">
        <v>39</v>
      </c>
      <c r="J281" s="40">
        <v>45053</v>
      </c>
      <c r="K281" s="29" t="b">
        <f t="shared" si="24"/>
        <v>0</v>
      </c>
      <c r="L281" s="29" t="str">
        <f t="shared" si="26"/>
        <v>No Discount</v>
      </c>
      <c r="M281" s="18" t="str">
        <f t="shared" si="25"/>
        <v>Medium</v>
      </c>
    </row>
    <row r="282" spans="1:13" ht="15.75" thickBot="1" x14ac:dyDescent="0.3">
      <c r="A282" s="17" t="s">
        <v>642</v>
      </c>
      <c r="B282" s="11" t="s">
        <v>120</v>
      </c>
      <c r="C282" s="11" t="s">
        <v>42</v>
      </c>
      <c r="D282" s="25" t="str">
        <f t="shared" si="23"/>
        <v>Item _Unknown_ BUT</v>
      </c>
      <c r="E282" s="27">
        <f t="shared" si="22"/>
        <v>6.5</v>
      </c>
      <c r="F282" s="12">
        <v>6</v>
      </c>
      <c r="G282" s="12">
        <v>39</v>
      </c>
      <c r="H282" s="11" t="s">
        <v>15</v>
      </c>
      <c r="I282" s="11" t="s">
        <v>16</v>
      </c>
      <c r="J282" s="41">
        <v>45461</v>
      </c>
      <c r="K282" s="29" t="b">
        <f t="shared" si="24"/>
        <v>0</v>
      </c>
      <c r="L282" s="29" t="str">
        <f t="shared" si="26"/>
        <v>No Discount</v>
      </c>
      <c r="M282" s="18" t="str">
        <f t="shared" si="25"/>
        <v>Loss</v>
      </c>
    </row>
    <row r="283" spans="1:13" ht="30.75" thickBot="1" x14ac:dyDescent="0.3">
      <c r="A283" s="16" t="s">
        <v>644</v>
      </c>
      <c r="B283" s="5" t="s">
        <v>130</v>
      </c>
      <c r="C283" s="5" t="s">
        <v>75</v>
      </c>
      <c r="D283" s="25" t="str">
        <f t="shared" si="23"/>
        <v>Item _Unknown_ MIL</v>
      </c>
      <c r="E283" s="27">
        <f t="shared" si="22"/>
        <v>20</v>
      </c>
      <c r="F283" s="6">
        <v>4</v>
      </c>
      <c r="G283" s="6">
        <v>80</v>
      </c>
      <c r="H283" s="5" t="s">
        <v>51</v>
      </c>
      <c r="I283" s="5" t="s">
        <v>39</v>
      </c>
      <c r="J283" s="40">
        <v>45633</v>
      </c>
      <c r="K283" s="29" t="b">
        <f t="shared" si="24"/>
        <v>0</v>
      </c>
      <c r="L283" s="29" t="str">
        <f t="shared" si="26"/>
        <v>No Discount</v>
      </c>
      <c r="M283" s="18" t="str">
        <f t="shared" si="25"/>
        <v>Loss</v>
      </c>
    </row>
    <row r="284" spans="1:13" ht="15.75" thickBot="1" x14ac:dyDescent="0.3">
      <c r="A284" s="17" t="s">
        <v>646</v>
      </c>
      <c r="B284" s="11" t="s">
        <v>106</v>
      </c>
      <c r="C284" s="11" t="s">
        <v>20</v>
      </c>
      <c r="D284" s="25" t="str">
        <f t="shared" si="23"/>
        <v>Item _Unknown_ FOO</v>
      </c>
      <c r="E284" s="27">
        <f t="shared" si="22"/>
        <v>17</v>
      </c>
      <c r="F284" s="12">
        <v>7</v>
      </c>
      <c r="G284" s="12">
        <v>119</v>
      </c>
      <c r="H284" s="11" t="s">
        <v>27</v>
      </c>
      <c r="I284" s="11" t="s">
        <v>16</v>
      </c>
      <c r="J284" s="41">
        <v>44845</v>
      </c>
      <c r="K284" s="29" t="b">
        <f t="shared" si="24"/>
        <v>0</v>
      </c>
      <c r="L284" s="29" t="str">
        <f t="shared" si="26"/>
        <v>No Discount</v>
      </c>
      <c r="M284" s="18" t="str">
        <f t="shared" si="25"/>
        <v>Loss</v>
      </c>
    </row>
    <row r="285" spans="1:13" ht="15.75" thickBot="1" x14ac:dyDescent="0.3">
      <c r="A285" s="16" t="s">
        <v>648</v>
      </c>
      <c r="B285" s="5" t="s">
        <v>99</v>
      </c>
      <c r="C285" s="5" t="s">
        <v>49</v>
      </c>
      <c r="D285" s="25" t="str">
        <f t="shared" si="23"/>
        <v>Item _Unknown_ BEV</v>
      </c>
      <c r="E285" s="27">
        <f t="shared" si="22"/>
        <v>39.5</v>
      </c>
      <c r="F285" s="6">
        <v>7</v>
      </c>
      <c r="G285" s="6">
        <v>276.5</v>
      </c>
      <c r="H285" s="5" t="s">
        <v>51</v>
      </c>
      <c r="I285" s="5" t="s">
        <v>16</v>
      </c>
      <c r="J285" s="40">
        <v>45296</v>
      </c>
      <c r="K285" s="29" t="b">
        <f t="shared" si="24"/>
        <v>0</v>
      </c>
      <c r="L285" s="29" t="str">
        <f t="shared" si="26"/>
        <v>No Discount</v>
      </c>
      <c r="M285" s="18" t="str">
        <f t="shared" si="25"/>
        <v>High Profit</v>
      </c>
    </row>
    <row r="286" spans="1:13" ht="15.75" thickBot="1" x14ac:dyDescent="0.3">
      <c r="A286" s="17" t="s">
        <v>649</v>
      </c>
      <c r="B286" s="11" t="s">
        <v>94</v>
      </c>
      <c r="C286" s="11" t="s">
        <v>13</v>
      </c>
      <c r="D286" s="25" t="str">
        <f t="shared" si="23"/>
        <v>Item _Unknown_ FUR</v>
      </c>
      <c r="E286" s="27">
        <f t="shared" si="22"/>
        <v>20</v>
      </c>
      <c r="F286" s="12">
        <v>4</v>
      </c>
      <c r="G286" s="12">
        <v>80</v>
      </c>
      <c r="H286" s="11" t="s">
        <v>51</v>
      </c>
      <c r="I286" s="11" t="s">
        <v>39</v>
      </c>
      <c r="J286" s="41">
        <v>45469</v>
      </c>
      <c r="K286" s="29" t="b">
        <f t="shared" si="24"/>
        <v>0</v>
      </c>
      <c r="L286" s="29" t="str">
        <f t="shared" si="26"/>
        <v>No Discount</v>
      </c>
      <c r="M286" s="18" t="str">
        <f t="shared" si="25"/>
        <v>Loss</v>
      </c>
    </row>
    <row r="287" spans="1:13" ht="15.75" thickBot="1" x14ac:dyDescent="0.3">
      <c r="A287" s="16" t="s">
        <v>651</v>
      </c>
      <c r="B287" s="5" t="s">
        <v>44</v>
      </c>
      <c r="C287" s="5" t="s">
        <v>30</v>
      </c>
      <c r="D287" s="25" t="str">
        <f t="shared" si="23"/>
        <v>Item _Unknown_ ELE</v>
      </c>
      <c r="E287" s="27">
        <f t="shared" si="22"/>
        <v>23</v>
      </c>
      <c r="F287" s="6">
        <v>3</v>
      </c>
      <c r="G287" s="6">
        <v>69</v>
      </c>
      <c r="H287" s="5" t="s">
        <v>15</v>
      </c>
      <c r="I287" s="5" t="s">
        <v>39</v>
      </c>
      <c r="J287" s="40">
        <v>45121</v>
      </c>
      <c r="K287" s="29" t="b">
        <f t="shared" si="24"/>
        <v>0</v>
      </c>
      <c r="L287" s="29" t="str">
        <f t="shared" si="26"/>
        <v>No Discount</v>
      </c>
      <c r="M287" s="18" t="str">
        <f t="shared" si="25"/>
        <v>Loss</v>
      </c>
    </row>
    <row r="288" spans="1:13" ht="15.75" thickBot="1" x14ac:dyDescent="0.3">
      <c r="A288" s="17" t="s">
        <v>653</v>
      </c>
      <c r="B288" s="11" t="s">
        <v>71</v>
      </c>
      <c r="C288" s="11" t="s">
        <v>42</v>
      </c>
      <c r="D288" s="25" t="str">
        <f t="shared" si="23"/>
        <v>Item _Unknown_ MIL</v>
      </c>
      <c r="E288" s="27">
        <f t="shared" si="22"/>
        <v>39.5</v>
      </c>
      <c r="F288" s="12">
        <v>9</v>
      </c>
      <c r="G288" s="12">
        <v>355.5</v>
      </c>
      <c r="H288" s="11" t="s">
        <v>15</v>
      </c>
      <c r="I288" s="11" t="s">
        <v>39</v>
      </c>
      <c r="J288" s="41">
        <v>45651</v>
      </c>
      <c r="K288" s="29" t="b">
        <f t="shared" si="24"/>
        <v>0</v>
      </c>
      <c r="L288" s="29" t="str">
        <f t="shared" si="26"/>
        <v>No Discount</v>
      </c>
      <c r="M288" s="18" t="str">
        <f t="shared" si="25"/>
        <v>High Profit</v>
      </c>
    </row>
    <row r="289" spans="1:13" ht="15.75" thickBot="1" x14ac:dyDescent="0.3">
      <c r="A289" s="16" t="s">
        <v>654</v>
      </c>
      <c r="B289" s="5" t="s">
        <v>149</v>
      </c>
      <c r="C289" s="5" t="s">
        <v>20</v>
      </c>
      <c r="D289" s="25" t="str">
        <f t="shared" si="23"/>
        <v>Item _Unknown_ BUT</v>
      </c>
      <c r="E289" s="27">
        <f t="shared" si="22"/>
        <v>15.5</v>
      </c>
      <c r="F289" s="6">
        <v>6</v>
      </c>
      <c r="G289" s="6">
        <v>93</v>
      </c>
      <c r="H289" s="5" t="s">
        <v>27</v>
      </c>
      <c r="I289" s="5" t="s">
        <v>39</v>
      </c>
      <c r="J289" s="40">
        <v>45566</v>
      </c>
      <c r="K289" s="29" t="b">
        <f t="shared" si="24"/>
        <v>0</v>
      </c>
      <c r="L289" s="29" t="str">
        <f t="shared" si="26"/>
        <v>No Discount</v>
      </c>
      <c r="M289" s="18" t="str">
        <f t="shared" si="25"/>
        <v>Loss</v>
      </c>
    </row>
    <row r="290" spans="1:13" ht="15.75" thickBot="1" x14ac:dyDescent="0.3">
      <c r="A290" s="17" t="s">
        <v>655</v>
      </c>
      <c r="B290" s="11" t="s">
        <v>71</v>
      </c>
      <c r="C290" s="11" t="s">
        <v>13</v>
      </c>
      <c r="D290" s="25" t="str">
        <f t="shared" si="23"/>
        <v>Item _Unknown_ PAT</v>
      </c>
      <c r="E290" s="27">
        <f t="shared" si="22"/>
        <v>21.5</v>
      </c>
      <c r="F290" s="12">
        <v>3</v>
      </c>
      <c r="G290" s="12">
        <v>64.5</v>
      </c>
      <c r="H290" s="11" t="s">
        <v>51</v>
      </c>
      <c r="I290" s="11" t="s">
        <v>39</v>
      </c>
      <c r="J290" s="41">
        <v>45652</v>
      </c>
      <c r="K290" s="29" t="b">
        <f t="shared" si="24"/>
        <v>0</v>
      </c>
      <c r="L290" s="29" t="str">
        <f t="shared" si="26"/>
        <v>No Discount</v>
      </c>
      <c r="M290" s="18" t="str">
        <f t="shared" si="25"/>
        <v>Loss</v>
      </c>
    </row>
    <row r="291" spans="1:13" ht="15.75" thickBot="1" x14ac:dyDescent="0.3">
      <c r="A291" s="16" t="s">
        <v>657</v>
      </c>
      <c r="B291" s="5" t="s">
        <v>19</v>
      </c>
      <c r="C291" s="5" t="s">
        <v>42</v>
      </c>
      <c r="D291" s="25" t="str">
        <f t="shared" si="23"/>
        <v>Item _Unknown_ FOO</v>
      </c>
      <c r="E291" s="27">
        <f t="shared" si="22"/>
        <v>26</v>
      </c>
      <c r="F291" s="6">
        <v>10</v>
      </c>
      <c r="G291" s="6">
        <v>260</v>
      </c>
      <c r="H291" s="5" t="s">
        <v>15</v>
      </c>
      <c r="I291" s="5" t="s">
        <v>39</v>
      </c>
      <c r="J291" s="40">
        <v>45332</v>
      </c>
      <c r="K291" s="29" t="b">
        <f t="shared" si="24"/>
        <v>0</v>
      </c>
      <c r="L291" s="29" t="str">
        <f t="shared" si="26"/>
        <v>No Discount</v>
      </c>
      <c r="M291" s="18" t="str">
        <f t="shared" si="25"/>
        <v>Medium</v>
      </c>
    </row>
    <row r="292" spans="1:13" ht="15.75" thickBot="1" x14ac:dyDescent="0.3">
      <c r="A292" s="17" t="s">
        <v>658</v>
      </c>
      <c r="B292" s="11" t="s">
        <v>29</v>
      </c>
      <c r="C292" s="11" t="s">
        <v>42</v>
      </c>
      <c r="D292" s="25" t="str">
        <f t="shared" si="23"/>
        <v>Item _Unknown_ FUR</v>
      </c>
      <c r="E292" s="27">
        <f t="shared" si="22"/>
        <v>11</v>
      </c>
      <c r="F292" s="12">
        <v>5</v>
      </c>
      <c r="G292" s="12">
        <v>55</v>
      </c>
      <c r="H292" s="11" t="s">
        <v>15</v>
      </c>
      <c r="I292" s="11" t="s">
        <v>16</v>
      </c>
      <c r="J292" s="41">
        <v>44627</v>
      </c>
      <c r="K292" s="29" t="b">
        <f t="shared" si="24"/>
        <v>0</v>
      </c>
      <c r="L292" s="29" t="str">
        <f t="shared" si="26"/>
        <v>No Discount</v>
      </c>
      <c r="M292" s="18" t="str">
        <f t="shared" si="25"/>
        <v>Loss</v>
      </c>
    </row>
    <row r="293" spans="1:13" ht="15.75" thickBot="1" x14ac:dyDescent="0.3">
      <c r="A293" s="16" t="s">
        <v>659</v>
      </c>
      <c r="B293" s="5" t="s">
        <v>86</v>
      </c>
      <c r="C293" s="5" t="s">
        <v>30</v>
      </c>
      <c r="D293" s="25" t="str">
        <f t="shared" si="23"/>
        <v>Item _Unknown_ MIL</v>
      </c>
      <c r="E293" s="27">
        <f t="shared" si="22"/>
        <v>29</v>
      </c>
      <c r="F293" s="6">
        <v>8</v>
      </c>
      <c r="G293" s="6">
        <v>232</v>
      </c>
      <c r="H293" s="5" t="s">
        <v>51</v>
      </c>
      <c r="I293" s="5" t="s">
        <v>16</v>
      </c>
      <c r="J293" s="40">
        <v>45625</v>
      </c>
      <c r="K293" s="29" t="b">
        <f t="shared" si="24"/>
        <v>0</v>
      </c>
      <c r="L293" s="29" t="str">
        <f t="shared" si="26"/>
        <v>No Discount</v>
      </c>
      <c r="M293" s="18" t="str">
        <f t="shared" si="25"/>
        <v>Medium</v>
      </c>
    </row>
    <row r="294" spans="1:13" ht="30.75" thickBot="1" x14ac:dyDescent="0.3">
      <c r="A294" s="17" t="s">
        <v>662</v>
      </c>
      <c r="B294" s="11" t="s">
        <v>140</v>
      </c>
      <c r="C294" s="11" t="s">
        <v>75</v>
      </c>
      <c r="D294" s="25" t="str">
        <f t="shared" si="23"/>
        <v>Item _Unknown_ PAT</v>
      </c>
      <c r="E294" s="27">
        <f t="shared" si="22"/>
        <v>41</v>
      </c>
      <c r="F294" s="12">
        <v>1</v>
      </c>
      <c r="G294" s="12">
        <v>41</v>
      </c>
      <c r="H294" s="11" t="s">
        <v>51</v>
      </c>
      <c r="I294" s="11" t="s">
        <v>39</v>
      </c>
      <c r="J294" s="41">
        <v>45590</v>
      </c>
      <c r="K294" s="29" t="b">
        <f t="shared" si="24"/>
        <v>0</v>
      </c>
      <c r="L294" s="29" t="str">
        <f t="shared" si="26"/>
        <v>No Discount</v>
      </c>
      <c r="M294" s="18" t="str">
        <f t="shared" si="25"/>
        <v>High Profit</v>
      </c>
    </row>
    <row r="295" spans="1:13" ht="15.75" thickBot="1" x14ac:dyDescent="0.3">
      <c r="A295" s="16" t="s">
        <v>663</v>
      </c>
      <c r="B295" s="5" t="s">
        <v>44</v>
      </c>
      <c r="C295" s="5" t="s">
        <v>30</v>
      </c>
      <c r="D295" s="25" t="str">
        <f t="shared" si="23"/>
        <v>Item _Unknown_ FUR</v>
      </c>
      <c r="E295" s="27">
        <f t="shared" si="22"/>
        <v>23</v>
      </c>
      <c r="F295" s="6">
        <v>9</v>
      </c>
      <c r="G295" s="6">
        <v>207</v>
      </c>
      <c r="H295" s="5" t="s">
        <v>15</v>
      </c>
      <c r="I295" s="5" t="s">
        <v>16</v>
      </c>
      <c r="J295" s="40">
        <v>44702</v>
      </c>
      <c r="K295" s="29" t="b">
        <f t="shared" si="24"/>
        <v>0</v>
      </c>
      <c r="L295" s="29" t="str">
        <f t="shared" si="26"/>
        <v>No Discount</v>
      </c>
      <c r="M295" s="18" t="str">
        <f t="shared" si="25"/>
        <v>Loss</v>
      </c>
    </row>
    <row r="296" spans="1:13" ht="30.75" thickBot="1" x14ac:dyDescent="0.3">
      <c r="A296" s="17" t="s">
        <v>665</v>
      </c>
      <c r="B296" s="11" t="s">
        <v>117</v>
      </c>
      <c r="C296" s="11" t="s">
        <v>158</v>
      </c>
      <c r="D296" s="25" t="str">
        <f t="shared" si="23"/>
        <v>Item _Unknown_ FUR</v>
      </c>
      <c r="E296" s="27">
        <f t="shared" si="22"/>
        <v>32</v>
      </c>
      <c r="F296" s="12">
        <v>7</v>
      </c>
      <c r="G296" s="12">
        <v>224</v>
      </c>
      <c r="H296" s="11" t="s">
        <v>27</v>
      </c>
      <c r="I296" s="11" t="s">
        <v>16</v>
      </c>
      <c r="J296" s="41">
        <v>44906</v>
      </c>
      <c r="K296" s="29" t="b">
        <f t="shared" si="24"/>
        <v>0</v>
      </c>
      <c r="L296" s="29" t="str">
        <f t="shared" si="26"/>
        <v>No Discount</v>
      </c>
      <c r="M296" s="18" t="str">
        <f t="shared" si="25"/>
        <v>Medium</v>
      </c>
    </row>
    <row r="297" spans="1:13" ht="15.75" thickBot="1" x14ac:dyDescent="0.3">
      <c r="A297" s="16" t="s">
        <v>666</v>
      </c>
      <c r="B297" s="5" t="s">
        <v>206</v>
      </c>
      <c r="C297" s="5" t="s">
        <v>13</v>
      </c>
      <c r="D297" s="25" t="str">
        <f t="shared" si="23"/>
        <v>Item _Unknown_ FOO</v>
      </c>
      <c r="E297" s="27">
        <f t="shared" si="22"/>
        <v>33.5</v>
      </c>
      <c r="F297" s="6">
        <v>10</v>
      </c>
      <c r="G297" s="6">
        <v>335</v>
      </c>
      <c r="H297" s="5" t="s">
        <v>51</v>
      </c>
      <c r="I297" s="5" t="s">
        <v>39</v>
      </c>
      <c r="J297" s="40">
        <v>45433</v>
      </c>
      <c r="K297" s="29" t="b">
        <f t="shared" si="24"/>
        <v>0</v>
      </c>
      <c r="L297" s="29" t="str">
        <f t="shared" si="26"/>
        <v>No Discount</v>
      </c>
      <c r="M297" s="18" t="str">
        <f t="shared" si="25"/>
        <v>Medium</v>
      </c>
    </row>
    <row r="298" spans="1:13" ht="15.75" thickBot="1" x14ac:dyDescent="0.3">
      <c r="A298" s="17" t="s">
        <v>668</v>
      </c>
      <c r="B298" s="11" t="s">
        <v>140</v>
      </c>
      <c r="C298" s="11" t="s">
        <v>25</v>
      </c>
      <c r="D298" s="25" t="str">
        <f t="shared" si="23"/>
        <v>Item _Unknown_ ELE</v>
      </c>
      <c r="E298" s="27">
        <f t="shared" si="22"/>
        <v>6.5</v>
      </c>
      <c r="F298" s="12">
        <v>8</v>
      </c>
      <c r="G298" s="12">
        <v>52</v>
      </c>
      <c r="H298" s="11" t="s">
        <v>27</v>
      </c>
      <c r="I298" s="11" t="s">
        <v>16</v>
      </c>
      <c r="J298" s="41">
        <v>45396</v>
      </c>
      <c r="K298" s="29" t="b">
        <f t="shared" si="24"/>
        <v>0</v>
      </c>
      <c r="L298" s="29" t="str">
        <f t="shared" si="26"/>
        <v>No Discount</v>
      </c>
      <c r="M298" s="18" t="str">
        <f t="shared" si="25"/>
        <v>Loss</v>
      </c>
    </row>
    <row r="299" spans="1:13" ht="15.75" thickBot="1" x14ac:dyDescent="0.3">
      <c r="A299" s="16" t="s">
        <v>670</v>
      </c>
      <c r="B299" s="5" t="s">
        <v>44</v>
      </c>
      <c r="C299" s="5" t="s">
        <v>25</v>
      </c>
      <c r="D299" s="25" t="str">
        <f t="shared" si="23"/>
        <v>Item _Unknown_ FOO</v>
      </c>
      <c r="E299" s="27">
        <f t="shared" si="22"/>
        <v>32</v>
      </c>
      <c r="F299" s="6">
        <v>2</v>
      </c>
      <c r="G299" s="6">
        <v>64</v>
      </c>
      <c r="H299" s="5" t="s">
        <v>27</v>
      </c>
      <c r="I299" s="5" t="s">
        <v>39</v>
      </c>
      <c r="J299" s="40">
        <v>45181</v>
      </c>
      <c r="K299" s="29" t="b">
        <f t="shared" si="24"/>
        <v>0</v>
      </c>
      <c r="L299" s="29" t="str">
        <f t="shared" si="26"/>
        <v>No Discount</v>
      </c>
      <c r="M299" s="18" t="str">
        <f t="shared" si="25"/>
        <v>Medium</v>
      </c>
    </row>
    <row r="300" spans="1:13" ht="15.75" thickBot="1" x14ac:dyDescent="0.3">
      <c r="A300" s="17" t="s">
        <v>671</v>
      </c>
      <c r="B300" s="11" t="s">
        <v>29</v>
      </c>
      <c r="C300" s="11" t="s">
        <v>49</v>
      </c>
      <c r="D300" s="25" t="str">
        <f t="shared" si="23"/>
        <v>Item _Unknown_ COM</v>
      </c>
      <c r="E300" s="27">
        <f t="shared" si="22"/>
        <v>36.5</v>
      </c>
      <c r="F300" s="12">
        <v>2</v>
      </c>
      <c r="G300" s="12">
        <v>73</v>
      </c>
      <c r="H300" s="11" t="s">
        <v>27</v>
      </c>
      <c r="I300" s="11" t="s">
        <v>16</v>
      </c>
      <c r="J300" s="41">
        <v>45341</v>
      </c>
      <c r="K300" s="29" t="b">
        <f t="shared" si="24"/>
        <v>0</v>
      </c>
      <c r="L300" s="29" t="str">
        <f t="shared" si="26"/>
        <v>No Discount</v>
      </c>
      <c r="M300" s="18" t="str">
        <f t="shared" si="25"/>
        <v>High Profit</v>
      </c>
    </row>
    <row r="301" spans="1:13" ht="15.75" thickBot="1" x14ac:dyDescent="0.3">
      <c r="A301" s="16" t="s">
        <v>673</v>
      </c>
      <c r="B301" s="5" t="s">
        <v>41</v>
      </c>
      <c r="C301" s="5" t="s">
        <v>49</v>
      </c>
      <c r="D301" s="25" t="str">
        <f t="shared" si="23"/>
        <v>Item _Unknown_ PAT</v>
      </c>
      <c r="E301" s="27">
        <f t="shared" si="22"/>
        <v>35</v>
      </c>
      <c r="F301" s="6">
        <v>1</v>
      </c>
      <c r="G301" s="6">
        <v>35</v>
      </c>
      <c r="H301" s="5" t="s">
        <v>15</v>
      </c>
      <c r="I301" s="5" t="s">
        <v>16</v>
      </c>
      <c r="J301" s="40">
        <v>44810</v>
      </c>
      <c r="K301" s="29" t="b">
        <f t="shared" si="24"/>
        <v>0</v>
      </c>
      <c r="L301" s="29" t="str">
        <f t="shared" si="26"/>
        <v>No Discount</v>
      </c>
      <c r="M301" s="18" t="str">
        <f t="shared" si="25"/>
        <v>High Profit</v>
      </c>
    </row>
    <row r="302" spans="1:13" ht="15.75" thickBot="1" x14ac:dyDescent="0.3">
      <c r="A302" s="17" t="s">
        <v>674</v>
      </c>
      <c r="B302" s="11" t="s">
        <v>136</v>
      </c>
      <c r="C302" s="11" t="s">
        <v>13</v>
      </c>
      <c r="D302" s="25" t="str">
        <f t="shared" si="23"/>
        <v>Item _Unknown_ BEV</v>
      </c>
      <c r="E302" s="27">
        <f t="shared" si="22"/>
        <v>17</v>
      </c>
      <c r="F302" s="12">
        <v>10</v>
      </c>
      <c r="G302" s="12">
        <v>170</v>
      </c>
      <c r="H302" s="11" t="s">
        <v>27</v>
      </c>
      <c r="I302" s="11" t="s">
        <v>39</v>
      </c>
      <c r="J302" s="41">
        <v>44637</v>
      </c>
      <c r="K302" s="29" t="b">
        <f t="shared" si="24"/>
        <v>0</v>
      </c>
      <c r="L302" s="29" t="str">
        <f t="shared" si="26"/>
        <v>No Discount</v>
      </c>
      <c r="M302" s="18" t="str">
        <f t="shared" si="25"/>
        <v>Loss</v>
      </c>
    </row>
    <row r="303" spans="1:13" ht="30.75" thickBot="1" x14ac:dyDescent="0.3">
      <c r="A303" s="16" t="s">
        <v>677</v>
      </c>
      <c r="B303" s="5" t="s">
        <v>74</v>
      </c>
      <c r="C303" s="5" t="s">
        <v>158</v>
      </c>
      <c r="D303" s="25" t="str">
        <f t="shared" si="23"/>
        <v>Item _Unknown_ BEV</v>
      </c>
      <c r="E303" s="27">
        <f t="shared" si="22"/>
        <v>20</v>
      </c>
      <c r="F303" s="6">
        <v>6</v>
      </c>
      <c r="G303" s="6">
        <v>120</v>
      </c>
      <c r="H303" s="5" t="s">
        <v>27</v>
      </c>
      <c r="I303" s="5" t="s">
        <v>39</v>
      </c>
      <c r="J303" s="40">
        <v>45093</v>
      </c>
      <c r="K303" s="29" t="b">
        <f t="shared" si="24"/>
        <v>0</v>
      </c>
      <c r="L303" s="29" t="str">
        <f t="shared" si="26"/>
        <v>No Discount</v>
      </c>
      <c r="M303" s="18" t="str">
        <f t="shared" si="25"/>
        <v>Loss</v>
      </c>
    </row>
    <row r="304" spans="1:13" ht="30.75" thickBot="1" x14ac:dyDescent="0.3">
      <c r="A304" s="17" t="s">
        <v>679</v>
      </c>
      <c r="B304" s="11" t="s">
        <v>206</v>
      </c>
      <c r="C304" s="11" t="s">
        <v>75</v>
      </c>
      <c r="D304" s="25" t="str">
        <f t="shared" si="23"/>
        <v>Item _Unknown_ BUT</v>
      </c>
      <c r="E304" s="27">
        <f t="shared" si="22"/>
        <v>23</v>
      </c>
      <c r="F304" s="12">
        <v>9</v>
      </c>
      <c r="G304" s="12">
        <v>207</v>
      </c>
      <c r="H304" s="11" t="s">
        <v>15</v>
      </c>
      <c r="I304" s="11" t="s">
        <v>16</v>
      </c>
      <c r="J304" s="41">
        <v>45651</v>
      </c>
      <c r="K304" s="29" t="b">
        <f t="shared" si="24"/>
        <v>0</v>
      </c>
      <c r="L304" s="29" t="str">
        <f t="shared" si="26"/>
        <v>No Discount</v>
      </c>
      <c r="M304" s="18" t="str">
        <f t="shared" si="25"/>
        <v>Loss</v>
      </c>
    </row>
    <row r="305" spans="1:13" ht="15.75" thickBot="1" x14ac:dyDescent="0.3">
      <c r="A305" s="16" t="s">
        <v>680</v>
      </c>
      <c r="B305" s="5" t="s">
        <v>127</v>
      </c>
      <c r="C305" s="5" t="s">
        <v>25</v>
      </c>
      <c r="D305" s="25" t="str">
        <f t="shared" si="23"/>
        <v>Item _Unknown_ BUT</v>
      </c>
      <c r="E305" s="27">
        <f t="shared" si="22"/>
        <v>18.5</v>
      </c>
      <c r="F305" s="6">
        <v>10</v>
      </c>
      <c r="G305" s="6">
        <v>185</v>
      </c>
      <c r="H305" s="5" t="s">
        <v>15</v>
      </c>
      <c r="I305" s="5" t="s">
        <v>39</v>
      </c>
      <c r="J305" s="40">
        <v>44990</v>
      </c>
      <c r="K305" s="29" t="b">
        <f t="shared" si="24"/>
        <v>0</v>
      </c>
      <c r="L305" s="29" t="str">
        <f t="shared" si="26"/>
        <v>No Discount</v>
      </c>
      <c r="M305" s="18" t="str">
        <f t="shared" si="25"/>
        <v>Loss</v>
      </c>
    </row>
    <row r="306" spans="1:13" ht="15.75" thickBot="1" x14ac:dyDescent="0.3">
      <c r="A306" s="17" t="s">
        <v>682</v>
      </c>
      <c r="B306" s="11" t="s">
        <v>90</v>
      </c>
      <c r="C306" s="11" t="s">
        <v>49</v>
      </c>
      <c r="D306" s="25" t="str">
        <f t="shared" si="23"/>
        <v>Item _Unknown_ PAT</v>
      </c>
      <c r="E306" s="27">
        <f t="shared" si="22"/>
        <v>8</v>
      </c>
      <c r="F306" s="12">
        <v>10</v>
      </c>
      <c r="G306" s="12">
        <v>80</v>
      </c>
      <c r="H306" s="11" t="s">
        <v>51</v>
      </c>
      <c r="I306" s="11" t="s">
        <v>16</v>
      </c>
      <c r="J306" s="41">
        <v>44615</v>
      </c>
      <c r="K306" s="29" t="b">
        <f t="shared" si="24"/>
        <v>0</v>
      </c>
      <c r="L306" s="29" t="str">
        <f t="shared" si="26"/>
        <v>No Discount</v>
      </c>
      <c r="M306" s="18" t="str">
        <f t="shared" si="25"/>
        <v>Loss</v>
      </c>
    </row>
    <row r="307" spans="1:13" ht="30.75" thickBot="1" x14ac:dyDescent="0.3">
      <c r="A307" s="16" t="s">
        <v>684</v>
      </c>
      <c r="B307" s="5" t="s">
        <v>127</v>
      </c>
      <c r="C307" s="5" t="s">
        <v>158</v>
      </c>
      <c r="D307" s="25" t="str">
        <f t="shared" si="23"/>
        <v>Item _Unknown_ COM</v>
      </c>
      <c r="E307" s="27">
        <f t="shared" ref="E307:E364" si="27">G307/F307</f>
        <v>29</v>
      </c>
      <c r="F307" s="6">
        <v>8</v>
      </c>
      <c r="G307" s="6">
        <v>232</v>
      </c>
      <c r="H307" s="5" t="s">
        <v>15</v>
      </c>
      <c r="I307" s="5" t="s">
        <v>16</v>
      </c>
      <c r="J307" s="40">
        <v>45257</v>
      </c>
      <c r="K307" s="29" t="b">
        <f t="shared" si="24"/>
        <v>0</v>
      </c>
      <c r="L307" s="29" t="str">
        <f t="shared" si="26"/>
        <v>No Discount</v>
      </c>
      <c r="M307" s="18" t="str">
        <f t="shared" si="25"/>
        <v>Medium</v>
      </c>
    </row>
    <row r="308" spans="1:13" ht="15.75" thickBot="1" x14ac:dyDescent="0.3">
      <c r="A308" s="17" t="s">
        <v>686</v>
      </c>
      <c r="B308" s="11" t="s">
        <v>44</v>
      </c>
      <c r="C308" s="11" t="s">
        <v>13</v>
      </c>
      <c r="D308" s="25" t="str">
        <f t="shared" si="23"/>
        <v>Item _Unknown_ ELE</v>
      </c>
      <c r="E308" s="27">
        <f t="shared" si="27"/>
        <v>41</v>
      </c>
      <c r="F308" s="12">
        <v>8</v>
      </c>
      <c r="G308" s="12">
        <v>328</v>
      </c>
      <c r="H308" s="11" t="s">
        <v>51</v>
      </c>
      <c r="I308" s="11" t="s">
        <v>39</v>
      </c>
      <c r="J308" s="41">
        <v>45580</v>
      </c>
      <c r="K308" s="29" t="b">
        <f t="shared" si="24"/>
        <v>0</v>
      </c>
      <c r="L308" s="29" t="str">
        <f t="shared" si="26"/>
        <v>No Discount</v>
      </c>
      <c r="M308" s="18" t="str">
        <f t="shared" si="25"/>
        <v>High Profit</v>
      </c>
    </row>
    <row r="309" spans="1:13" ht="30.75" thickBot="1" x14ac:dyDescent="0.3">
      <c r="A309" s="16" t="s">
        <v>688</v>
      </c>
      <c r="B309" s="5" t="s">
        <v>29</v>
      </c>
      <c r="C309" s="5" t="s">
        <v>75</v>
      </c>
      <c r="D309" s="25" t="str">
        <f t="shared" ref="D309:D366" si="28">"Item _Unknown_ "&amp;UPPER(LEFT(C305,3))</f>
        <v>Item _Unknown_ BEV</v>
      </c>
      <c r="E309" s="27">
        <f t="shared" si="27"/>
        <v>23</v>
      </c>
      <c r="F309" s="6">
        <v>4</v>
      </c>
      <c r="G309" s="6">
        <v>92</v>
      </c>
      <c r="H309" s="5" t="s">
        <v>27</v>
      </c>
      <c r="I309" s="5" t="s">
        <v>39</v>
      </c>
      <c r="J309" s="40">
        <v>45144</v>
      </c>
      <c r="K309" s="29" t="b">
        <f t="shared" si="24"/>
        <v>0</v>
      </c>
      <c r="L309" s="29" t="str">
        <f t="shared" si="26"/>
        <v>No Discount</v>
      </c>
      <c r="M309" s="18" t="str">
        <f t="shared" si="25"/>
        <v>Loss</v>
      </c>
    </row>
    <row r="310" spans="1:13" ht="15.75" thickBot="1" x14ac:dyDescent="0.3">
      <c r="A310" s="17" t="s">
        <v>689</v>
      </c>
      <c r="B310" s="11" t="s">
        <v>41</v>
      </c>
      <c r="C310" s="11" t="s">
        <v>13</v>
      </c>
      <c r="D310" s="25" t="str">
        <f t="shared" si="28"/>
        <v>Item _Unknown_ BUT</v>
      </c>
      <c r="E310" s="27">
        <f t="shared" si="27"/>
        <v>15.5</v>
      </c>
      <c r="F310" s="12">
        <v>6</v>
      </c>
      <c r="G310" s="12">
        <v>93</v>
      </c>
      <c r="H310" s="11" t="s">
        <v>51</v>
      </c>
      <c r="I310" s="11" t="s">
        <v>16</v>
      </c>
      <c r="J310" s="41">
        <v>45467</v>
      </c>
      <c r="K310" s="29" t="b">
        <f t="shared" si="24"/>
        <v>0</v>
      </c>
      <c r="L310" s="29" t="str">
        <f t="shared" si="26"/>
        <v>No Discount</v>
      </c>
      <c r="M310" s="18" t="str">
        <f t="shared" si="25"/>
        <v>Loss</v>
      </c>
    </row>
    <row r="311" spans="1:13" ht="15.75" thickBot="1" x14ac:dyDescent="0.3">
      <c r="A311" s="16" t="s">
        <v>692</v>
      </c>
      <c r="B311" s="5" t="s">
        <v>130</v>
      </c>
      <c r="C311" s="5" t="s">
        <v>25</v>
      </c>
      <c r="D311" s="25" t="str">
        <f t="shared" si="28"/>
        <v>Item _Unknown_ COM</v>
      </c>
      <c r="E311" s="27">
        <f t="shared" si="27"/>
        <v>20</v>
      </c>
      <c r="F311" s="6">
        <v>6</v>
      </c>
      <c r="G311" s="6">
        <v>120</v>
      </c>
      <c r="H311" s="5" t="s">
        <v>51</v>
      </c>
      <c r="I311" s="5" t="s">
        <v>16</v>
      </c>
      <c r="J311" s="40">
        <v>45213</v>
      </c>
      <c r="K311" s="29" t="b">
        <f t="shared" si="24"/>
        <v>0</v>
      </c>
      <c r="L311" s="29" t="str">
        <f t="shared" si="26"/>
        <v>No Discount</v>
      </c>
      <c r="M311" s="18" t="str">
        <f t="shared" si="25"/>
        <v>Loss</v>
      </c>
    </row>
    <row r="312" spans="1:13" ht="15.75" thickBot="1" x14ac:dyDescent="0.3">
      <c r="A312" s="17" t="s">
        <v>694</v>
      </c>
      <c r="B312" s="11" t="s">
        <v>48</v>
      </c>
      <c r="C312" s="11" t="s">
        <v>13</v>
      </c>
      <c r="D312" s="25" t="str">
        <f t="shared" si="28"/>
        <v>Item _Unknown_ PAT</v>
      </c>
      <c r="E312" s="27">
        <f t="shared" si="27"/>
        <v>20</v>
      </c>
      <c r="F312" s="12">
        <v>3</v>
      </c>
      <c r="G312" s="12">
        <v>60</v>
      </c>
      <c r="H312" s="11" t="s">
        <v>15</v>
      </c>
      <c r="I312" s="11" t="s">
        <v>16</v>
      </c>
      <c r="J312" s="41">
        <v>44957</v>
      </c>
      <c r="K312" s="29" t="b">
        <f t="shared" si="24"/>
        <v>0</v>
      </c>
      <c r="L312" s="29" t="str">
        <f t="shared" si="26"/>
        <v>No Discount</v>
      </c>
      <c r="M312" s="18" t="str">
        <f t="shared" si="25"/>
        <v>Loss</v>
      </c>
    </row>
    <row r="313" spans="1:13" ht="15.75" thickBot="1" x14ac:dyDescent="0.3">
      <c r="A313" s="16" t="s">
        <v>696</v>
      </c>
      <c r="B313" s="5" t="s">
        <v>136</v>
      </c>
      <c r="C313" s="5" t="s">
        <v>30</v>
      </c>
      <c r="D313" s="25" t="str">
        <f t="shared" si="28"/>
        <v>Item _Unknown_ ELE</v>
      </c>
      <c r="E313" s="27">
        <f t="shared" si="27"/>
        <v>30.5</v>
      </c>
      <c r="F313" s="6">
        <v>8</v>
      </c>
      <c r="G313" s="6">
        <v>244</v>
      </c>
      <c r="H313" s="5" t="s">
        <v>27</v>
      </c>
      <c r="I313" s="5" t="s">
        <v>39</v>
      </c>
      <c r="J313" s="40">
        <v>44989</v>
      </c>
      <c r="K313" s="29" t="b">
        <f t="shared" si="24"/>
        <v>0</v>
      </c>
      <c r="L313" s="29" t="str">
        <f t="shared" si="26"/>
        <v>No Discount</v>
      </c>
      <c r="M313" s="18" t="str">
        <f t="shared" si="25"/>
        <v>Medium</v>
      </c>
    </row>
    <row r="314" spans="1:13" ht="15.75" thickBot="1" x14ac:dyDescent="0.3">
      <c r="A314" s="17" t="s">
        <v>697</v>
      </c>
      <c r="B314" s="11" t="s">
        <v>19</v>
      </c>
      <c r="C314" s="11" t="s">
        <v>42</v>
      </c>
      <c r="D314" s="25" t="str">
        <f t="shared" si="28"/>
        <v>Item _Unknown_ PAT</v>
      </c>
      <c r="E314" s="27">
        <f t="shared" si="27"/>
        <v>11</v>
      </c>
      <c r="F314" s="12">
        <v>3</v>
      </c>
      <c r="G314" s="12">
        <v>33</v>
      </c>
      <c r="H314" s="11" t="s">
        <v>27</v>
      </c>
      <c r="I314" s="11" t="s">
        <v>39</v>
      </c>
      <c r="J314" s="41">
        <v>45413</v>
      </c>
      <c r="K314" s="29" t="b">
        <f t="shared" si="24"/>
        <v>0</v>
      </c>
      <c r="L314" s="29" t="str">
        <f t="shared" si="26"/>
        <v>No Discount</v>
      </c>
      <c r="M314" s="18" t="str">
        <f t="shared" si="25"/>
        <v>Loss</v>
      </c>
    </row>
    <row r="315" spans="1:13" ht="15.75" thickBot="1" x14ac:dyDescent="0.3">
      <c r="A315" s="17" t="s">
        <v>699</v>
      </c>
      <c r="B315" s="11" t="s">
        <v>60</v>
      </c>
      <c r="C315" s="11" t="s">
        <v>42</v>
      </c>
      <c r="D315" s="25" t="str">
        <f>"Item _Unknown_ "&amp;UPPER(LEFT(C312,3))</f>
        <v>Item _Unknown_ PAT</v>
      </c>
      <c r="E315" s="27">
        <f t="shared" si="27"/>
        <v>39.5</v>
      </c>
      <c r="F315" s="12">
        <v>1</v>
      </c>
      <c r="G315" s="12">
        <v>39.5</v>
      </c>
      <c r="H315" s="11" t="s">
        <v>15</v>
      </c>
      <c r="I315" s="11" t="s">
        <v>39</v>
      </c>
      <c r="J315" s="41">
        <v>45308</v>
      </c>
      <c r="K315" s="29" t="b">
        <f t="shared" si="24"/>
        <v>0</v>
      </c>
      <c r="L315" s="29" t="str">
        <f t="shared" si="26"/>
        <v>No Discount</v>
      </c>
      <c r="M315" s="18" t="str">
        <f t="shared" si="25"/>
        <v>High Profit</v>
      </c>
    </row>
    <row r="316" spans="1:13" ht="15.75" thickBot="1" x14ac:dyDescent="0.3">
      <c r="A316" s="16" t="s">
        <v>701</v>
      </c>
      <c r="B316" s="5" t="s">
        <v>60</v>
      </c>
      <c r="C316" s="5" t="s">
        <v>20</v>
      </c>
      <c r="D316" s="25" t="str">
        <f>"Item _Unknown_ "&amp;UPPER(LEFT(C313,3))</f>
        <v>Item _Unknown_ FOO</v>
      </c>
      <c r="E316" s="27">
        <f t="shared" si="27"/>
        <v>12.5</v>
      </c>
      <c r="F316" s="6">
        <v>3</v>
      </c>
      <c r="G316" s="6">
        <v>37.5</v>
      </c>
      <c r="H316" s="5" t="s">
        <v>27</v>
      </c>
      <c r="I316" s="5" t="s">
        <v>39</v>
      </c>
      <c r="J316" s="40">
        <v>44701</v>
      </c>
      <c r="K316" s="29" t="b">
        <f t="shared" si="24"/>
        <v>0</v>
      </c>
      <c r="L316" s="29" t="str">
        <f t="shared" si="26"/>
        <v>No Discount</v>
      </c>
      <c r="M316" s="18" t="str">
        <f t="shared" si="25"/>
        <v>Loss</v>
      </c>
    </row>
    <row r="317" spans="1:13" ht="15.75" thickBot="1" x14ac:dyDescent="0.3">
      <c r="A317" s="17" t="s">
        <v>702</v>
      </c>
      <c r="B317" s="11" t="s">
        <v>24</v>
      </c>
      <c r="C317" s="11" t="s">
        <v>42</v>
      </c>
      <c r="D317" s="25" t="str">
        <f>"Item _Unknown_ "&amp;UPPER(LEFT(C314,3))</f>
        <v>Item _Unknown_ FUR</v>
      </c>
      <c r="E317" s="27">
        <f t="shared" si="27"/>
        <v>39.5</v>
      </c>
      <c r="F317" s="12">
        <v>6</v>
      </c>
      <c r="G317" s="12">
        <v>237</v>
      </c>
      <c r="H317" s="11" t="s">
        <v>27</v>
      </c>
      <c r="I317" s="11" t="s">
        <v>39</v>
      </c>
      <c r="J317" s="41">
        <v>44583</v>
      </c>
      <c r="K317" s="29" t="b">
        <f t="shared" si="24"/>
        <v>0</v>
      </c>
      <c r="L317" s="29" t="str">
        <f t="shared" si="26"/>
        <v>No Discount</v>
      </c>
      <c r="M317" s="18" t="str">
        <f t="shared" si="25"/>
        <v>High Profit</v>
      </c>
    </row>
    <row r="318" spans="1:13" ht="30.75" thickBot="1" x14ac:dyDescent="0.3">
      <c r="A318" s="16" t="s">
        <v>704</v>
      </c>
      <c r="B318" s="5" t="s">
        <v>86</v>
      </c>
      <c r="C318" s="5" t="s">
        <v>75</v>
      </c>
      <c r="D318" s="25" t="str">
        <f>"Item _Unknown_ "&amp;UPPER(LEFT(C309,3))</f>
        <v>Item _Unknown_ ELE</v>
      </c>
      <c r="E318" s="27">
        <f t="shared" si="27"/>
        <v>5</v>
      </c>
      <c r="F318" s="6">
        <v>3</v>
      </c>
      <c r="G318" s="6">
        <v>15</v>
      </c>
      <c r="H318" s="5" t="s">
        <v>51</v>
      </c>
      <c r="I318" s="5" t="s">
        <v>39</v>
      </c>
      <c r="J318" s="40">
        <v>45110</v>
      </c>
      <c r="K318" s="29" t="b">
        <f t="shared" si="24"/>
        <v>0</v>
      </c>
      <c r="L318" s="29" t="str">
        <f t="shared" si="26"/>
        <v>No Discount</v>
      </c>
      <c r="M318" s="18" t="str">
        <f t="shared" si="25"/>
        <v>Loss</v>
      </c>
    </row>
    <row r="319" spans="1:13" ht="15.75" thickBot="1" x14ac:dyDescent="0.3">
      <c r="A319" s="17" t="s">
        <v>705</v>
      </c>
      <c r="B319" s="11" t="s">
        <v>130</v>
      </c>
      <c r="C319" s="11" t="s">
        <v>30</v>
      </c>
      <c r="D319" s="25" t="str">
        <f t="shared" si="28"/>
        <v>Item _Unknown_ FUR</v>
      </c>
      <c r="E319" s="27">
        <f t="shared" si="27"/>
        <v>33.5</v>
      </c>
      <c r="F319" s="12">
        <v>2</v>
      </c>
      <c r="G319" s="12">
        <v>67</v>
      </c>
      <c r="H319" s="11" t="s">
        <v>51</v>
      </c>
      <c r="I319" s="11" t="s">
        <v>39</v>
      </c>
      <c r="J319" s="41">
        <v>45221</v>
      </c>
      <c r="K319" s="29" t="b">
        <f t="shared" si="24"/>
        <v>0</v>
      </c>
      <c r="L319" s="29" t="str">
        <f t="shared" si="26"/>
        <v>No Discount</v>
      </c>
      <c r="M319" s="18" t="str">
        <f t="shared" si="25"/>
        <v>Medium</v>
      </c>
    </row>
    <row r="320" spans="1:13" ht="15.75" thickBot="1" x14ac:dyDescent="0.3">
      <c r="A320" s="16" t="s">
        <v>707</v>
      </c>
      <c r="B320" s="5" t="s">
        <v>120</v>
      </c>
      <c r="C320" s="5" t="s">
        <v>30</v>
      </c>
      <c r="D320" s="25" t="str">
        <f t="shared" si="28"/>
        <v>Item _Unknown_ MIL</v>
      </c>
      <c r="E320" s="27">
        <f t="shared" si="27"/>
        <v>41</v>
      </c>
      <c r="F320" s="6">
        <v>10</v>
      </c>
      <c r="G320" s="6">
        <v>410</v>
      </c>
      <c r="H320" s="5" t="s">
        <v>15</v>
      </c>
      <c r="I320" s="5" t="s">
        <v>16</v>
      </c>
      <c r="J320" s="40">
        <v>45582</v>
      </c>
      <c r="K320" s="29" t="b">
        <f t="shared" si="24"/>
        <v>0</v>
      </c>
      <c r="L320" s="29" t="str">
        <f t="shared" si="26"/>
        <v>No Discount</v>
      </c>
      <c r="M320" s="18" t="str">
        <f t="shared" si="25"/>
        <v>High Profit</v>
      </c>
    </row>
    <row r="321" spans="1:13" ht="30.75" thickBot="1" x14ac:dyDescent="0.3">
      <c r="A321" s="16" t="s">
        <v>709</v>
      </c>
      <c r="B321" s="5" t="s">
        <v>19</v>
      </c>
      <c r="C321" s="5" t="s">
        <v>75</v>
      </c>
      <c r="D321" s="25" t="str">
        <f>"Item _Unknown_ "&amp;UPPER(LEFT(C318,3))</f>
        <v>Item _Unknown_ ELE</v>
      </c>
      <c r="E321" s="27">
        <f t="shared" si="27"/>
        <v>41</v>
      </c>
      <c r="F321" s="6">
        <v>8</v>
      </c>
      <c r="G321" s="6">
        <v>328</v>
      </c>
      <c r="H321" s="5" t="s">
        <v>51</v>
      </c>
      <c r="I321" s="5" t="s">
        <v>16</v>
      </c>
      <c r="J321" s="40">
        <v>44734</v>
      </c>
      <c r="K321" s="29" t="b">
        <f t="shared" si="24"/>
        <v>0</v>
      </c>
      <c r="L321" s="29" t="str">
        <f t="shared" si="26"/>
        <v>No Discount</v>
      </c>
      <c r="M321" s="18" t="str">
        <f t="shared" si="25"/>
        <v>High Profit</v>
      </c>
    </row>
    <row r="322" spans="1:13" ht="15.75" thickBot="1" x14ac:dyDescent="0.3">
      <c r="A322" s="17" t="s">
        <v>711</v>
      </c>
      <c r="B322" s="11" t="s">
        <v>71</v>
      </c>
      <c r="C322" s="11" t="s">
        <v>25</v>
      </c>
      <c r="D322" s="25" t="str">
        <f>"Item _Unknown_ "&amp;UPPER(LEFT(C319,3))</f>
        <v>Item _Unknown_ FOO</v>
      </c>
      <c r="E322" s="27">
        <f t="shared" si="27"/>
        <v>12.5</v>
      </c>
      <c r="F322" s="12">
        <v>8</v>
      </c>
      <c r="G322" s="12">
        <v>100</v>
      </c>
      <c r="H322" s="11" t="s">
        <v>27</v>
      </c>
      <c r="I322" s="11" t="s">
        <v>39</v>
      </c>
      <c r="J322" s="41">
        <v>45595</v>
      </c>
      <c r="K322" s="29" t="b">
        <f t="shared" ref="K322:K385" si="29">IF(ROUND(E322*F322,2)=G322,FALSE,TRUE)</f>
        <v>0</v>
      </c>
      <c r="L322" s="29" t="str">
        <f t="shared" si="26"/>
        <v>No Discount</v>
      </c>
      <c r="M322" s="18" t="str">
        <f t="shared" ref="M322:M385" si="30">IF(E322&gt;=35,"High Profit",IF(E322&gt;=25,"Medium","Loss"))</f>
        <v>Loss</v>
      </c>
    </row>
    <row r="323" spans="1:13" ht="15.75" thickBot="1" x14ac:dyDescent="0.3">
      <c r="A323" s="17" t="s">
        <v>714</v>
      </c>
      <c r="B323" s="11" t="s">
        <v>78</v>
      </c>
      <c r="C323" s="11" t="s">
        <v>49</v>
      </c>
      <c r="D323" s="25" t="str">
        <f>"Item _Unknown_ "&amp;UPPER(LEFT(C314,3))</f>
        <v>Item _Unknown_ FUR</v>
      </c>
      <c r="E323" s="27">
        <f t="shared" si="27"/>
        <v>23</v>
      </c>
      <c r="F323" s="12">
        <v>3</v>
      </c>
      <c r="G323" s="12">
        <v>69</v>
      </c>
      <c r="H323" s="11" t="s">
        <v>27</v>
      </c>
      <c r="I323" s="11" t="s">
        <v>16</v>
      </c>
      <c r="J323" s="41">
        <v>45100</v>
      </c>
      <c r="K323" s="29" t="b">
        <f t="shared" si="29"/>
        <v>0</v>
      </c>
      <c r="L323" s="29" t="str">
        <f t="shared" ref="L323:L386" si="31">IF(K323=FALSE,"No Discount","Discount Applied")</f>
        <v>No Discount</v>
      </c>
      <c r="M323" s="18" t="str">
        <f t="shared" si="30"/>
        <v>Loss</v>
      </c>
    </row>
    <row r="324" spans="1:13" ht="30.75" thickBot="1" x14ac:dyDescent="0.3">
      <c r="A324" s="17" t="s">
        <v>718</v>
      </c>
      <c r="B324" s="11" t="s">
        <v>74</v>
      </c>
      <c r="C324" s="11" t="s">
        <v>75</v>
      </c>
      <c r="D324" s="25" t="str">
        <f>"Item _Unknown_ "&amp;UPPER(LEFT(C322,3))</f>
        <v>Item _Unknown_ BEV</v>
      </c>
      <c r="E324" s="27">
        <f t="shared" si="27"/>
        <v>21.5</v>
      </c>
      <c r="F324" s="12">
        <v>2</v>
      </c>
      <c r="G324" s="12">
        <v>43</v>
      </c>
      <c r="H324" s="11" t="s">
        <v>51</v>
      </c>
      <c r="I324" s="11" t="s">
        <v>16</v>
      </c>
      <c r="J324" s="41">
        <v>45187</v>
      </c>
      <c r="K324" s="29" t="b">
        <f t="shared" si="29"/>
        <v>0</v>
      </c>
      <c r="L324" s="29" t="str">
        <f t="shared" si="31"/>
        <v>No Discount</v>
      </c>
      <c r="M324" s="18" t="str">
        <f t="shared" si="30"/>
        <v>Loss</v>
      </c>
    </row>
    <row r="325" spans="1:13" ht="15.75" thickBot="1" x14ac:dyDescent="0.3">
      <c r="A325" s="16" t="s">
        <v>720</v>
      </c>
      <c r="B325" s="5" t="s">
        <v>74</v>
      </c>
      <c r="C325" s="5" t="s">
        <v>20</v>
      </c>
      <c r="D325" s="25" t="str">
        <f>"Item _Unknown_ "&amp;UPPER(LEFT(C316,3))</f>
        <v>Item _Unknown_ MIL</v>
      </c>
      <c r="E325" s="27">
        <f t="shared" si="27"/>
        <v>23</v>
      </c>
      <c r="F325" s="6">
        <v>1</v>
      </c>
      <c r="G325" s="6">
        <v>23</v>
      </c>
      <c r="H325" s="5" t="s">
        <v>27</v>
      </c>
      <c r="I325" s="5" t="s">
        <v>39</v>
      </c>
      <c r="J325" s="40">
        <v>45075</v>
      </c>
      <c r="K325" s="29" t="b">
        <f t="shared" si="29"/>
        <v>0</v>
      </c>
      <c r="L325" s="29" t="str">
        <f t="shared" si="31"/>
        <v>No Discount</v>
      </c>
      <c r="M325" s="18" t="str">
        <f t="shared" si="30"/>
        <v>Loss</v>
      </c>
    </row>
    <row r="326" spans="1:13" ht="15.75" thickBot="1" x14ac:dyDescent="0.3">
      <c r="A326" s="17" t="s">
        <v>723</v>
      </c>
      <c r="B326" s="11" t="s">
        <v>48</v>
      </c>
      <c r="C326" s="11" t="s">
        <v>13</v>
      </c>
      <c r="D326" s="25" t="str">
        <f>"Item _Unknown_ "&amp;UPPER(LEFT(C323,3))</f>
        <v>Item _Unknown_ BUT</v>
      </c>
      <c r="E326" s="27">
        <f t="shared" si="27"/>
        <v>33.5</v>
      </c>
      <c r="F326" s="12">
        <v>8</v>
      </c>
      <c r="G326" s="12">
        <v>268</v>
      </c>
      <c r="H326" s="11" t="s">
        <v>51</v>
      </c>
      <c r="I326" s="11" t="s">
        <v>16</v>
      </c>
      <c r="J326" s="41">
        <v>44867</v>
      </c>
      <c r="K326" s="29" t="b">
        <f t="shared" si="29"/>
        <v>0</v>
      </c>
      <c r="L326" s="29" t="str">
        <f t="shared" si="31"/>
        <v>No Discount</v>
      </c>
      <c r="M326" s="18" t="str">
        <f t="shared" si="30"/>
        <v>Medium</v>
      </c>
    </row>
    <row r="327" spans="1:13" ht="15.75" thickBot="1" x14ac:dyDescent="0.3">
      <c r="A327" s="16" t="s">
        <v>724</v>
      </c>
      <c r="B327" s="5" t="s">
        <v>41</v>
      </c>
      <c r="C327" s="5" t="s">
        <v>49</v>
      </c>
      <c r="D327" s="25" t="str">
        <f>"Item _Unknown_ "&amp;UPPER(LEFT(C318,3))</f>
        <v>Item _Unknown_ ELE</v>
      </c>
      <c r="E327" s="27">
        <f t="shared" si="27"/>
        <v>8</v>
      </c>
      <c r="F327" s="6">
        <v>2</v>
      </c>
      <c r="G327" s="6">
        <v>16</v>
      </c>
      <c r="H327" s="5" t="s">
        <v>51</v>
      </c>
      <c r="I327" s="5" t="s">
        <v>39</v>
      </c>
      <c r="J327" s="40">
        <v>44579</v>
      </c>
      <c r="K327" s="29" t="b">
        <f t="shared" si="29"/>
        <v>0</v>
      </c>
      <c r="L327" s="29" t="str">
        <f t="shared" si="31"/>
        <v>No Discount</v>
      </c>
      <c r="M327" s="18" t="str">
        <f t="shared" si="30"/>
        <v>Loss</v>
      </c>
    </row>
    <row r="328" spans="1:13" ht="30.75" thickBot="1" x14ac:dyDescent="0.3">
      <c r="A328" s="17" t="s">
        <v>726</v>
      </c>
      <c r="B328" s="11" t="s">
        <v>41</v>
      </c>
      <c r="C328" s="11" t="s">
        <v>158</v>
      </c>
      <c r="D328" s="25" t="str">
        <f t="shared" si="28"/>
        <v>Item _Unknown_ ELE</v>
      </c>
      <c r="E328" s="27">
        <f t="shared" si="27"/>
        <v>36.5</v>
      </c>
      <c r="F328" s="12">
        <v>9</v>
      </c>
      <c r="G328" s="12">
        <v>328.5</v>
      </c>
      <c r="H328" s="11" t="s">
        <v>27</v>
      </c>
      <c r="I328" s="11" t="s">
        <v>16</v>
      </c>
      <c r="J328" s="41">
        <v>45150</v>
      </c>
      <c r="K328" s="29" t="b">
        <f t="shared" si="29"/>
        <v>0</v>
      </c>
      <c r="L328" s="29" t="str">
        <f t="shared" si="31"/>
        <v>No Discount</v>
      </c>
      <c r="M328" s="18" t="str">
        <f t="shared" si="30"/>
        <v>High Profit</v>
      </c>
    </row>
    <row r="329" spans="1:13" ht="30.75" thickBot="1" x14ac:dyDescent="0.3">
      <c r="A329" s="16" t="s">
        <v>727</v>
      </c>
      <c r="B329" s="5" t="s">
        <v>44</v>
      </c>
      <c r="C329" s="5" t="s">
        <v>158</v>
      </c>
      <c r="D329" s="25" t="str">
        <f t="shared" si="28"/>
        <v>Item _Unknown_ MIL</v>
      </c>
      <c r="E329" s="27">
        <f t="shared" si="27"/>
        <v>18.5</v>
      </c>
      <c r="F329" s="6">
        <v>7</v>
      </c>
      <c r="G329" s="6">
        <v>129.5</v>
      </c>
      <c r="H329" s="5" t="s">
        <v>15</v>
      </c>
      <c r="I329" s="5" t="s">
        <v>39</v>
      </c>
      <c r="J329" s="40">
        <v>45091</v>
      </c>
      <c r="K329" s="29" t="b">
        <f t="shared" si="29"/>
        <v>0</v>
      </c>
      <c r="L329" s="29" t="str">
        <f t="shared" si="31"/>
        <v>No Discount</v>
      </c>
      <c r="M329" s="18" t="str">
        <f t="shared" si="30"/>
        <v>Loss</v>
      </c>
    </row>
    <row r="330" spans="1:13" ht="15.75" thickBot="1" x14ac:dyDescent="0.3">
      <c r="A330" s="17" t="s">
        <v>729</v>
      </c>
      <c r="B330" s="11" t="s">
        <v>78</v>
      </c>
      <c r="C330" s="11" t="s">
        <v>30</v>
      </c>
      <c r="D330" s="25" t="str">
        <f t="shared" si="28"/>
        <v>Item _Unknown_ PAT</v>
      </c>
      <c r="E330" s="27">
        <f t="shared" si="27"/>
        <v>24.5</v>
      </c>
      <c r="F330" s="12">
        <v>6</v>
      </c>
      <c r="G330" s="12">
        <v>147</v>
      </c>
      <c r="H330" s="11" t="s">
        <v>51</v>
      </c>
      <c r="I330" s="11" t="s">
        <v>39</v>
      </c>
      <c r="J330" s="41">
        <v>45057</v>
      </c>
      <c r="K330" s="29" t="b">
        <f t="shared" si="29"/>
        <v>0</v>
      </c>
      <c r="L330" s="29" t="str">
        <f t="shared" si="31"/>
        <v>No Discount</v>
      </c>
      <c r="M330" s="18" t="str">
        <f t="shared" si="30"/>
        <v>Loss</v>
      </c>
    </row>
    <row r="331" spans="1:13" ht="15.75" thickBot="1" x14ac:dyDescent="0.3">
      <c r="A331" s="16" t="s">
        <v>730</v>
      </c>
      <c r="B331" s="5" t="s">
        <v>44</v>
      </c>
      <c r="C331" s="5" t="s">
        <v>42</v>
      </c>
      <c r="D331" s="25" t="str">
        <f t="shared" si="28"/>
        <v>Item _Unknown_ BUT</v>
      </c>
      <c r="E331" s="27">
        <f t="shared" si="27"/>
        <v>39.5</v>
      </c>
      <c r="F331" s="6">
        <v>3</v>
      </c>
      <c r="G331" s="6">
        <v>118.5</v>
      </c>
      <c r="H331" s="5" t="s">
        <v>27</v>
      </c>
      <c r="I331" s="5" t="s">
        <v>16</v>
      </c>
      <c r="J331" s="40">
        <v>44996</v>
      </c>
      <c r="K331" s="29" t="b">
        <f t="shared" si="29"/>
        <v>0</v>
      </c>
      <c r="L331" s="29" t="str">
        <f t="shared" si="31"/>
        <v>No Discount</v>
      </c>
      <c r="M331" s="18" t="str">
        <f t="shared" si="30"/>
        <v>High Profit</v>
      </c>
    </row>
    <row r="332" spans="1:13" ht="15.75" thickBot="1" x14ac:dyDescent="0.3">
      <c r="A332" s="17" t="s">
        <v>731</v>
      </c>
      <c r="B332" s="11" t="s">
        <v>149</v>
      </c>
      <c r="C332" s="11" t="s">
        <v>42</v>
      </c>
      <c r="D332" s="25" t="str">
        <f t="shared" si="28"/>
        <v>Item _Unknown_ COM</v>
      </c>
      <c r="E332" s="27">
        <f t="shared" si="27"/>
        <v>26</v>
      </c>
      <c r="F332" s="12">
        <v>7</v>
      </c>
      <c r="G332" s="12">
        <v>182</v>
      </c>
      <c r="H332" s="11" t="s">
        <v>15</v>
      </c>
      <c r="I332" s="11" t="s">
        <v>39</v>
      </c>
      <c r="J332" s="41">
        <v>44599</v>
      </c>
      <c r="K332" s="29" t="b">
        <f t="shared" si="29"/>
        <v>0</v>
      </c>
      <c r="L332" s="29" t="str">
        <f t="shared" si="31"/>
        <v>No Discount</v>
      </c>
      <c r="M332" s="18" t="str">
        <f t="shared" si="30"/>
        <v>Medium</v>
      </c>
    </row>
    <row r="333" spans="1:13" ht="15.75" thickBot="1" x14ac:dyDescent="0.3">
      <c r="A333" s="16" t="s">
        <v>732</v>
      </c>
      <c r="B333" s="5" t="s">
        <v>106</v>
      </c>
      <c r="C333" s="5" t="s">
        <v>20</v>
      </c>
      <c r="D333" s="25" t="str">
        <f t="shared" si="28"/>
        <v>Item _Unknown_ COM</v>
      </c>
      <c r="E333" s="27">
        <f t="shared" si="27"/>
        <v>39.5</v>
      </c>
      <c r="F333" s="6">
        <v>3</v>
      </c>
      <c r="G333" s="6">
        <v>118.5</v>
      </c>
      <c r="H333" s="5" t="s">
        <v>27</v>
      </c>
      <c r="I333" s="5" t="s">
        <v>16</v>
      </c>
      <c r="J333" s="40">
        <v>45216</v>
      </c>
      <c r="K333" s="29" t="b">
        <f t="shared" si="29"/>
        <v>0</v>
      </c>
      <c r="L333" s="29" t="str">
        <f t="shared" si="31"/>
        <v>No Discount</v>
      </c>
      <c r="M333" s="18" t="str">
        <f t="shared" si="30"/>
        <v>High Profit</v>
      </c>
    </row>
    <row r="334" spans="1:13" ht="30.75" thickBot="1" x14ac:dyDescent="0.3">
      <c r="A334" s="17" t="s">
        <v>733</v>
      </c>
      <c r="B334" s="11" t="s">
        <v>41</v>
      </c>
      <c r="C334" s="11" t="s">
        <v>158</v>
      </c>
      <c r="D334" s="25" t="str">
        <f t="shared" si="28"/>
        <v>Item _Unknown_ FOO</v>
      </c>
      <c r="E334" s="27">
        <f t="shared" si="27"/>
        <v>30.5</v>
      </c>
      <c r="F334" s="12">
        <v>2</v>
      </c>
      <c r="G334" s="12">
        <v>61</v>
      </c>
      <c r="H334" s="11" t="s">
        <v>15</v>
      </c>
      <c r="I334" s="11" t="s">
        <v>39</v>
      </c>
      <c r="J334" s="41">
        <v>45619</v>
      </c>
      <c r="K334" s="29" t="b">
        <f t="shared" si="29"/>
        <v>0</v>
      </c>
      <c r="L334" s="29" t="str">
        <f t="shared" si="31"/>
        <v>No Discount</v>
      </c>
      <c r="M334" s="18" t="str">
        <f t="shared" si="30"/>
        <v>Medium</v>
      </c>
    </row>
    <row r="335" spans="1:13" ht="15.75" thickBot="1" x14ac:dyDescent="0.3">
      <c r="A335" s="16" t="s">
        <v>735</v>
      </c>
      <c r="B335" s="5" t="s">
        <v>127</v>
      </c>
      <c r="C335" s="5" t="s">
        <v>49</v>
      </c>
      <c r="D335" s="25" t="str">
        <f t="shared" si="28"/>
        <v>Item _Unknown_ FUR</v>
      </c>
      <c r="E335" s="27">
        <f t="shared" si="27"/>
        <v>11</v>
      </c>
      <c r="F335" s="6">
        <v>4</v>
      </c>
      <c r="G335" s="6">
        <v>44</v>
      </c>
      <c r="H335" s="5" t="s">
        <v>51</v>
      </c>
      <c r="I335" s="5" t="s">
        <v>39</v>
      </c>
      <c r="J335" s="40">
        <v>45254</v>
      </c>
      <c r="K335" s="29" t="b">
        <f t="shared" si="29"/>
        <v>0</v>
      </c>
      <c r="L335" s="29" t="str">
        <f t="shared" si="31"/>
        <v>No Discount</v>
      </c>
      <c r="M335" s="18" t="str">
        <f t="shared" si="30"/>
        <v>Loss</v>
      </c>
    </row>
    <row r="336" spans="1:13" ht="15.75" thickBot="1" x14ac:dyDescent="0.3">
      <c r="A336" s="17" t="s">
        <v>738</v>
      </c>
      <c r="B336" s="11" t="s">
        <v>106</v>
      </c>
      <c r="C336" s="11" t="s">
        <v>20</v>
      </c>
      <c r="D336" s="25" t="str">
        <f t="shared" si="28"/>
        <v>Item _Unknown_ FUR</v>
      </c>
      <c r="E336" s="27">
        <f t="shared" si="27"/>
        <v>36.5</v>
      </c>
      <c r="F336" s="12">
        <v>2</v>
      </c>
      <c r="G336" s="12">
        <v>73</v>
      </c>
      <c r="H336" s="11" t="s">
        <v>15</v>
      </c>
      <c r="I336" s="11" t="s">
        <v>39</v>
      </c>
      <c r="J336" s="41">
        <v>44841</v>
      </c>
      <c r="K336" s="29" t="b">
        <f t="shared" si="29"/>
        <v>0</v>
      </c>
      <c r="L336" s="29" t="str">
        <f t="shared" si="31"/>
        <v>No Discount</v>
      </c>
      <c r="M336" s="18" t="str">
        <f t="shared" si="30"/>
        <v>High Profit</v>
      </c>
    </row>
    <row r="337" spans="1:13" ht="30.75" thickBot="1" x14ac:dyDescent="0.3">
      <c r="A337" s="16" t="s">
        <v>740</v>
      </c>
      <c r="B337" s="5" t="s">
        <v>149</v>
      </c>
      <c r="C337" s="5" t="s">
        <v>158</v>
      </c>
      <c r="D337" s="25" t="str">
        <f t="shared" si="28"/>
        <v>Item _Unknown_ MIL</v>
      </c>
      <c r="E337" s="27">
        <f t="shared" si="27"/>
        <v>11</v>
      </c>
      <c r="F337" s="6">
        <v>1</v>
      </c>
      <c r="G337" s="6">
        <v>11</v>
      </c>
      <c r="H337" s="5" t="s">
        <v>51</v>
      </c>
      <c r="I337" s="5" t="s">
        <v>16</v>
      </c>
      <c r="J337" s="40">
        <v>45156</v>
      </c>
      <c r="K337" s="29" t="b">
        <f t="shared" si="29"/>
        <v>0</v>
      </c>
      <c r="L337" s="29" t="str">
        <f t="shared" si="31"/>
        <v>No Discount</v>
      </c>
      <c r="M337" s="18" t="str">
        <f t="shared" si="30"/>
        <v>Loss</v>
      </c>
    </row>
    <row r="338" spans="1:13" ht="15.75" thickBot="1" x14ac:dyDescent="0.3">
      <c r="A338" s="17" t="s">
        <v>742</v>
      </c>
      <c r="B338" s="11" t="s">
        <v>41</v>
      </c>
      <c r="C338" s="11" t="s">
        <v>42</v>
      </c>
      <c r="D338" s="25" t="str">
        <f t="shared" si="28"/>
        <v>Item _Unknown_ COM</v>
      </c>
      <c r="E338" s="27">
        <f t="shared" si="27"/>
        <v>9.5</v>
      </c>
      <c r="F338" s="12">
        <v>8</v>
      </c>
      <c r="G338" s="12">
        <v>76</v>
      </c>
      <c r="H338" s="11" t="s">
        <v>51</v>
      </c>
      <c r="I338" s="11" t="s">
        <v>39</v>
      </c>
      <c r="J338" s="41">
        <v>44934</v>
      </c>
      <c r="K338" s="29" t="b">
        <f t="shared" si="29"/>
        <v>0</v>
      </c>
      <c r="L338" s="29" t="str">
        <f t="shared" si="31"/>
        <v>No Discount</v>
      </c>
      <c r="M338" s="18" t="str">
        <f t="shared" si="30"/>
        <v>Loss</v>
      </c>
    </row>
    <row r="339" spans="1:13" ht="15.75" thickBot="1" x14ac:dyDescent="0.3">
      <c r="A339" s="16" t="s">
        <v>744</v>
      </c>
      <c r="B339" s="5" t="s">
        <v>106</v>
      </c>
      <c r="C339" s="5" t="s">
        <v>13</v>
      </c>
      <c r="D339" s="25" t="str">
        <f t="shared" si="28"/>
        <v>Item _Unknown_ BUT</v>
      </c>
      <c r="E339" s="27">
        <f t="shared" si="27"/>
        <v>26</v>
      </c>
      <c r="F339" s="6">
        <v>9</v>
      </c>
      <c r="G339" s="6">
        <v>234</v>
      </c>
      <c r="H339" s="5" t="s">
        <v>27</v>
      </c>
      <c r="I339" s="5" t="s">
        <v>16</v>
      </c>
      <c r="J339" s="40">
        <v>44943</v>
      </c>
      <c r="K339" s="29" t="b">
        <f t="shared" si="29"/>
        <v>0</v>
      </c>
      <c r="L339" s="29" t="str">
        <f t="shared" si="31"/>
        <v>No Discount</v>
      </c>
      <c r="M339" s="18" t="str">
        <f t="shared" si="30"/>
        <v>Medium</v>
      </c>
    </row>
    <row r="340" spans="1:13" ht="15.75" thickBot="1" x14ac:dyDescent="0.3">
      <c r="A340" s="16" t="s">
        <v>747</v>
      </c>
      <c r="B340" s="5" t="s">
        <v>48</v>
      </c>
      <c r="C340" s="5" t="s">
        <v>30</v>
      </c>
      <c r="D340" s="25" t="str">
        <f>"Item _Unknown_ "&amp;UPPER(LEFT(C337,3))</f>
        <v>Item _Unknown_ COM</v>
      </c>
      <c r="E340" s="27">
        <f t="shared" si="27"/>
        <v>21.5</v>
      </c>
      <c r="F340" s="6">
        <v>6</v>
      </c>
      <c r="G340" s="6">
        <v>129</v>
      </c>
      <c r="H340" s="5" t="s">
        <v>27</v>
      </c>
      <c r="I340" s="5" t="s">
        <v>39</v>
      </c>
      <c r="J340" s="40">
        <v>45228</v>
      </c>
      <c r="K340" s="29" t="b">
        <f t="shared" si="29"/>
        <v>0</v>
      </c>
      <c r="L340" s="29" t="str">
        <f t="shared" si="31"/>
        <v>No Discount</v>
      </c>
      <c r="M340" s="18" t="str">
        <f t="shared" si="30"/>
        <v>Loss</v>
      </c>
    </row>
    <row r="341" spans="1:13" ht="15.75" thickBot="1" x14ac:dyDescent="0.3">
      <c r="A341" s="17" t="s">
        <v>748</v>
      </c>
      <c r="B341" s="11" t="s">
        <v>106</v>
      </c>
      <c r="C341" s="11" t="s">
        <v>13</v>
      </c>
      <c r="D341" s="25" t="str">
        <f>"Item _Unknown_ "&amp;UPPER(LEFT(C338,3))</f>
        <v>Item _Unknown_ FUR</v>
      </c>
      <c r="E341" s="27">
        <f t="shared" si="27"/>
        <v>23</v>
      </c>
      <c r="F341" s="12">
        <v>4</v>
      </c>
      <c r="G341" s="12">
        <v>92</v>
      </c>
      <c r="H341" s="11" t="s">
        <v>27</v>
      </c>
      <c r="I341" s="11" t="s">
        <v>16</v>
      </c>
      <c r="J341" s="41">
        <v>44628</v>
      </c>
      <c r="K341" s="29" t="b">
        <f t="shared" si="29"/>
        <v>0</v>
      </c>
      <c r="L341" s="29" t="str">
        <f t="shared" si="31"/>
        <v>No Discount</v>
      </c>
      <c r="M341" s="18" t="str">
        <f t="shared" si="30"/>
        <v>Loss</v>
      </c>
    </row>
    <row r="342" spans="1:13" ht="15.75" thickBot="1" x14ac:dyDescent="0.3">
      <c r="A342" s="16" t="s">
        <v>749</v>
      </c>
      <c r="B342" s="5" t="s">
        <v>24</v>
      </c>
      <c r="C342" s="5" t="s">
        <v>25</v>
      </c>
      <c r="D342" s="25" t="str">
        <f>"Item _Unknown_ "&amp;UPPER(LEFT(C339,3))</f>
        <v>Item _Unknown_ PAT</v>
      </c>
      <c r="E342" s="27">
        <f t="shared" si="27"/>
        <v>8</v>
      </c>
      <c r="F342" s="6">
        <v>9</v>
      </c>
      <c r="G342" s="6">
        <v>72</v>
      </c>
      <c r="H342" s="5" t="s">
        <v>51</v>
      </c>
      <c r="I342" s="5" t="s">
        <v>16</v>
      </c>
      <c r="J342" s="40">
        <v>45374</v>
      </c>
      <c r="K342" s="29" t="b">
        <f t="shared" si="29"/>
        <v>0</v>
      </c>
      <c r="L342" s="29" t="str">
        <f t="shared" si="31"/>
        <v>No Discount</v>
      </c>
      <c r="M342" s="18" t="str">
        <f t="shared" si="30"/>
        <v>Loss</v>
      </c>
    </row>
    <row r="343" spans="1:13" ht="15.75" thickBot="1" x14ac:dyDescent="0.3">
      <c r="A343" s="17" t="s">
        <v>751</v>
      </c>
      <c r="B343" s="11" t="s">
        <v>127</v>
      </c>
      <c r="C343" s="11" t="s">
        <v>30</v>
      </c>
      <c r="D343" s="25" t="str">
        <f>"Item _Unknown_ "&amp;UPPER(LEFT(C334,3))</f>
        <v>Item _Unknown_ COM</v>
      </c>
      <c r="E343" s="27">
        <f t="shared" si="27"/>
        <v>33.5</v>
      </c>
      <c r="F343" s="12">
        <v>9</v>
      </c>
      <c r="G343" s="12">
        <v>301.5</v>
      </c>
      <c r="H343" s="11" t="s">
        <v>15</v>
      </c>
      <c r="I343" s="11" t="s">
        <v>39</v>
      </c>
      <c r="J343" s="41">
        <v>45564</v>
      </c>
      <c r="K343" s="29" t="b">
        <f t="shared" si="29"/>
        <v>0</v>
      </c>
      <c r="L343" s="29" t="str">
        <f t="shared" si="31"/>
        <v>No Discount</v>
      </c>
      <c r="M343" s="18" t="str">
        <f t="shared" si="30"/>
        <v>Medium</v>
      </c>
    </row>
    <row r="344" spans="1:13" ht="15.75" thickBot="1" x14ac:dyDescent="0.3">
      <c r="A344" s="16" t="s">
        <v>753</v>
      </c>
      <c r="B344" s="5" t="s">
        <v>94</v>
      </c>
      <c r="C344" s="5" t="s">
        <v>30</v>
      </c>
      <c r="D344" s="25" t="str">
        <f t="shared" si="28"/>
        <v>Item _Unknown_ FOO</v>
      </c>
      <c r="E344" s="27">
        <f t="shared" si="27"/>
        <v>20</v>
      </c>
      <c r="F344" s="6">
        <v>4</v>
      </c>
      <c r="G344" s="6">
        <v>80</v>
      </c>
      <c r="H344" s="5" t="s">
        <v>27</v>
      </c>
      <c r="I344" s="5" t="s">
        <v>39</v>
      </c>
      <c r="J344" s="40">
        <v>44881</v>
      </c>
      <c r="K344" s="29" t="b">
        <f t="shared" si="29"/>
        <v>0</v>
      </c>
      <c r="L344" s="29" t="str">
        <f t="shared" si="31"/>
        <v>No Discount</v>
      </c>
      <c r="M344" s="18" t="str">
        <f t="shared" si="30"/>
        <v>Loss</v>
      </c>
    </row>
    <row r="345" spans="1:13" ht="30.75" thickBot="1" x14ac:dyDescent="0.3">
      <c r="A345" s="17" t="s">
        <v>755</v>
      </c>
      <c r="B345" s="11" t="s">
        <v>29</v>
      </c>
      <c r="C345" s="11" t="s">
        <v>75</v>
      </c>
      <c r="D345" s="25" t="str">
        <f t="shared" si="28"/>
        <v>Item _Unknown_ PAT</v>
      </c>
      <c r="E345" s="27">
        <f t="shared" si="27"/>
        <v>36.5</v>
      </c>
      <c r="F345" s="12">
        <v>7</v>
      </c>
      <c r="G345" s="12">
        <v>255.5</v>
      </c>
      <c r="H345" s="11" t="s">
        <v>27</v>
      </c>
      <c r="I345" s="11" t="s">
        <v>16</v>
      </c>
      <c r="J345" s="41">
        <v>44616</v>
      </c>
      <c r="K345" s="29" t="b">
        <f t="shared" si="29"/>
        <v>0</v>
      </c>
      <c r="L345" s="29" t="str">
        <f t="shared" si="31"/>
        <v>No Discount</v>
      </c>
      <c r="M345" s="18" t="str">
        <f t="shared" si="30"/>
        <v>High Profit</v>
      </c>
    </row>
    <row r="346" spans="1:13" ht="15.75" thickBot="1" x14ac:dyDescent="0.3">
      <c r="A346" s="16" t="s">
        <v>757</v>
      </c>
      <c r="B346" s="5" t="s">
        <v>136</v>
      </c>
      <c r="C346" s="5" t="s">
        <v>20</v>
      </c>
      <c r="D346" s="25" t="str">
        <f t="shared" si="28"/>
        <v>Item _Unknown_ BEV</v>
      </c>
      <c r="E346" s="27">
        <f t="shared" si="27"/>
        <v>26</v>
      </c>
      <c r="F346" s="6">
        <v>7</v>
      </c>
      <c r="G346" s="6">
        <v>182</v>
      </c>
      <c r="H346" s="5" t="s">
        <v>15</v>
      </c>
      <c r="I346" s="5" t="s">
        <v>16</v>
      </c>
      <c r="J346" s="40">
        <v>44779</v>
      </c>
      <c r="K346" s="29" t="b">
        <f t="shared" si="29"/>
        <v>0</v>
      </c>
      <c r="L346" s="29" t="str">
        <f t="shared" si="31"/>
        <v>No Discount</v>
      </c>
      <c r="M346" s="18" t="str">
        <f t="shared" si="30"/>
        <v>Medium</v>
      </c>
    </row>
    <row r="347" spans="1:13" ht="15.75" thickBot="1" x14ac:dyDescent="0.3">
      <c r="A347" s="17" t="s">
        <v>758</v>
      </c>
      <c r="B347" s="11" t="s">
        <v>48</v>
      </c>
      <c r="C347" s="11" t="s">
        <v>49</v>
      </c>
      <c r="D347" s="25" t="str">
        <f t="shared" si="28"/>
        <v>Item _Unknown_ FOO</v>
      </c>
      <c r="E347" s="27">
        <f t="shared" si="27"/>
        <v>11</v>
      </c>
      <c r="F347" s="12">
        <v>9</v>
      </c>
      <c r="G347" s="12">
        <v>99</v>
      </c>
      <c r="H347" s="11" t="s">
        <v>27</v>
      </c>
      <c r="I347" s="11" t="s">
        <v>39</v>
      </c>
      <c r="J347" s="41">
        <v>45362</v>
      </c>
      <c r="K347" s="29" t="b">
        <f t="shared" si="29"/>
        <v>0</v>
      </c>
      <c r="L347" s="29" t="str">
        <f t="shared" si="31"/>
        <v>No Discount</v>
      </c>
      <c r="M347" s="18" t="str">
        <f t="shared" si="30"/>
        <v>Loss</v>
      </c>
    </row>
    <row r="348" spans="1:13" ht="15.75" thickBot="1" x14ac:dyDescent="0.3">
      <c r="A348" s="16" t="s">
        <v>759</v>
      </c>
      <c r="B348" s="5" t="s">
        <v>90</v>
      </c>
      <c r="C348" s="5" t="s">
        <v>13</v>
      </c>
      <c r="D348" s="25" t="str">
        <f t="shared" si="28"/>
        <v>Item _Unknown_ FOO</v>
      </c>
      <c r="E348" s="27">
        <f t="shared" si="27"/>
        <v>9.5</v>
      </c>
      <c r="F348" s="6">
        <v>6</v>
      </c>
      <c r="G348" s="6">
        <v>57</v>
      </c>
      <c r="H348" s="5" t="s">
        <v>27</v>
      </c>
      <c r="I348" s="5" t="s">
        <v>16</v>
      </c>
      <c r="J348" s="40">
        <v>45084</v>
      </c>
      <c r="K348" s="29" t="b">
        <f t="shared" si="29"/>
        <v>0</v>
      </c>
      <c r="L348" s="29" t="str">
        <f t="shared" si="31"/>
        <v>No Discount</v>
      </c>
      <c r="M348" s="18" t="str">
        <f t="shared" si="30"/>
        <v>Loss</v>
      </c>
    </row>
    <row r="349" spans="1:13" ht="30.75" thickBot="1" x14ac:dyDescent="0.3">
      <c r="A349" s="17" t="s">
        <v>760</v>
      </c>
      <c r="B349" s="11" t="s">
        <v>99</v>
      </c>
      <c r="C349" s="11" t="s">
        <v>75</v>
      </c>
      <c r="D349" s="25" t="str">
        <f t="shared" si="28"/>
        <v>Item _Unknown_ ELE</v>
      </c>
      <c r="E349" s="27">
        <f t="shared" si="27"/>
        <v>21.5</v>
      </c>
      <c r="F349" s="12">
        <v>2</v>
      </c>
      <c r="G349" s="12">
        <v>43</v>
      </c>
      <c r="H349" s="11" t="s">
        <v>51</v>
      </c>
      <c r="I349" s="11" t="s">
        <v>16</v>
      </c>
      <c r="J349" s="41">
        <v>44814</v>
      </c>
      <c r="K349" s="29" t="b">
        <f t="shared" si="29"/>
        <v>0</v>
      </c>
      <c r="L349" s="29" t="str">
        <f t="shared" si="31"/>
        <v>No Discount</v>
      </c>
      <c r="M349" s="18" t="str">
        <f t="shared" si="30"/>
        <v>Loss</v>
      </c>
    </row>
    <row r="350" spans="1:13" ht="15.75" thickBot="1" x14ac:dyDescent="0.3">
      <c r="A350" s="16" t="s">
        <v>761</v>
      </c>
      <c r="B350" s="5" t="s">
        <v>149</v>
      </c>
      <c r="C350" s="5" t="s">
        <v>25</v>
      </c>
      <c r="D350" s="25" t="str">
        <f t="shared" si="28"/>
        <v>Item _Unknown_ MIL</v>
      </c>
      <c r="E350" s="27">
        <f t="shared" si="27"/>
        <v>29</v>
      </c>
      <c r="F350" s="6">
        <v>1</v>
      </c>
      <c r="G350" s="6">
        <v>29</v>
      </c>
      <c r="H350" s="5" t="s">
        <v>51</v>
      </c>
      <c r="I350" s="5" t="s">
        <v>39</v>
      </c>
      <c r="J350" s="40">
        <v>44894</v>
      </c>
      <c r="K350" s="29" t="b">
        <f t="shared" si="29"/>
        <v>0</v>
      </c>
      <c r="L350" s="29" t="str">
        <f t="shared" si="31"/>
        <v>No Discount</v>
      </c>
      <c r="M350" s="18" t="str">
        <f t="shared" si="30"/>
        <v>Medium</v>
      </c>
    </row>
    <row r="351" spans="1:13" ht="15.75" thickBot="1" x14ac:dyDescent="0.3">
      <c r="A351" s="16" t="s">
        <v>765</v>
      </c>
      <c r="B351" s="5" t="s">
        <v>74</v>
      </c>
      <c r="C351" s="5" t="s">
        <v>49</v>
      </c>
      <c r="D351" s="25" t="str">
        <f>"Item _Unknown_ "&amp;UPPER(LEFT(C348,3))</f>
        <v>Item _Unknown_ PAT</v>
      </c>
      <c r="E351" s="27">
        <f t="shared" si="27"/>
        <v>23</v>
      </c>
      <c r="F351" s="6">
        <v>5</v>
      </c>
      <c r="G351" s="6">
        <v>115</v>
      </c>
      <c r="H351" s="5" t="s">
        <v>27</v>
      </c>
      <c r="I351" s="5" t="s">
        <v>16</v>
      </c>
      <c r="J351" s="40">
        <v>44792</v>
      </c>
      <c r="K351" s="29" t="b">
        <f t="shared" si="29"/>
        <v>0</v>
      </c>
      <c r="L351" s="29" t="str">
        <f t="shared" si="31"/>
        <v>No Discount</v>
      </c>
      <c r="M351" s="18" t="str">
        <f t="shared" si="30"/>
        <v>Loss</v>
      </c>
    </row>
    <row r="352" spans="1:13" ht="15.75" thickBot="1" x14ac:dyDescent="0.3">
      <c r="A352" s="17" t="s">
        <v>767</v>
      </c>
      <c r="B352" s="11" t="s">
        <v>99</v>
      </c>
      <c r="C352" s="11" t="s">
        <v>13</v>
      </c>
      <c r="D352" s="25" t="str">
        <f>"Item _Unknown_ "&amp;UPPER(LEFT(C349,3))</f>
        <v>Item _Unknown_ ELE</v>
      </c>
      <c r="E352" s="27">
        <f t="shared" si="27"/>
        <v>24.5</v>
      </c>
      <c r="F352" s="12">
        <v>4</v>
      </c>
      <c r="G352" s="12">
        <v>98</v>
      </c>
      <c r="H352" s="11" t="s">
        <v>51</v>
      </c>
      <c r="I352" s="11" t="s">
        <v>16</v>
      </c>
      <c r="J352" s="41">
        <v>44657</v>
      </c>
      <c r="K352" s="29" t="b">
        <f t="shared" si="29"/>
        <v>0</v>
      </c>
      <c r="L352" s="29" t="str">
        <f t="shared" si="31"/>
        <v>No Discount</v>
      </c>
      <c r="M352" s="18" t="str">
        <f t="shared" si="30"/>
        <v>Loss</v>
      </c>
    </row>
    <row r="353" spans="1:13" ht="15.75" thickBot="1" x14ac:dyDescent="0.3">
      <c r="A353" s="16" t="s">
        <v>768</v>
      </c>
      <c r="B353" s="5" t="s">
        <v>106</v>
      </c>
      <c r="C353" s="5" t="s">
        <v>20</v>
      </c>
      <c r="D353" s="25" t="str">
        <f>"Item _Unknown_ "&amp;UPPER(LEFT(C350,3))</f>
        <v>Item _Unknown_ BEV</v>
      </c>
      <c r="E353" s="27">
        <f t="shared" si="27"/>
        <v>5</v>
      </c>
      <c r="F353" s="6">
        <v>1</v>
      </c>
      <c r="G353" s="6">
        <v>5</v>
      </c>
      <c r="H353" s="5" t="s">
        <v>27</v>
      </c>
      <c r="I353" s="5" t="s">
        <v>16</v>
      </c>
      <c r="J353" s="40">
        <v>45281</v>
      </c>
      <c r="K353" s="29" t="b">
        <f t="shared" si="29"/>
        <v>0</v>
      </c>
      <c r="L353" s="29" t="str">
        <f t="shared" si="31"/>
        <v>No Discount</v>
      </c>
      <c r="M353" s="18" t="str">
        <f t="shared" si="30"/>
        <v>Loss</v>
      </c>
    </row>
    <row r="354" spans="1:13" ht="15.75" thickBot="1" x14ac:dyDescent="0.3">
      <c r="A354" s="17" t="s">
        <v>770</v>
      </c>
      <c r="B354" s="11" t="s">
        <v>29</v>
      </c>
      <c r="C354" s="11" t="s">
        <v>42</v>
      </c>
      <c r="D354" s="25" t="str">
        <f>"Item _Unknown_ "&amp;UPPER(LEFT(C345,3))</f>
        <v>Item _Unknown_ ELE</v>
      </c>
      <c r="E354" s="27">
        <f t="shared" si="27"/>
        <v>24.5</v>
      </c>
      <c r="F354" s="12">
        <v>4</v>
      </c>
      <c r="G354" s="12">
        <v>98</v>
      </c>
      <c r="H354" s="11" t="s">
        <v>51</v>
      </c>
      <c r="I354" s="11" t="s">
        <v>39</v>
      </c>
      <c r="J354" s="41">
        <v>45089</v>
      </c>
      <c r="K354" s="29" t="b">
        <f t="shared" si="29"/>
        <v>0</v>
      </c>
      <c r="L354" s="29" t="str">
        <f t="shared" si="31"/>
        <v>No Discount</v>
      </c>
      <c r="M354" s="18" t="str">
        <f t="shared" si="30"/>
        <v>Loss</v>
      </c>
    </row>
    <row r="355" spans="1:13" ht="15.75" thickBot="1" x14ac:dyDescent="0.3">
      <c r="A355" s="16" t="s">
        <v>771</v>
      </c>
      <c r="B355" s="5" t="s">
        <v>117</v>
      </c>
      <c r="C355" s="5" t="s">
        <v>25</v>
      </c>
      <c r="D355" s="25" t="str">
        <f t="shared" si="28"/>
        <v>Item _Unknown_ BUT</v>
      </c>
      <c r="E355" s="27">
        <f t="shared" si="27"/>
        <v>41</v>
      </c>
      <c r="F355" s="6">
        <v>9</v>
      </c>
      <c r="G355" s="6">
        <v>369</v>
      </c>
      <c r="H355" s="5" t="s">
        <v>27</v>
      </c>
      <c r="I355" s="5" t="s">
        <v>39</v>
      </c>
      <c r="J355" s="40">
        <v>45224</v>
      </c>
      <c r="K355" s="29" t="b">
        <f t="shared" si="29"/>
        <v>0</v>
      </c>
      <c r="L355" s="29" t="str">
        <f t="shared" si="31"/>
        <v>No Discount</v>
      </c>
      <c r="M355" s="18" t="str">
        <f t="shared" si="30"/>
        <v>High Profit</v>
      </c>
    </row>
    <row r="356" spans="1:13" ht="15.75" thickBot="1" x14ac:dyDescent="0.3">
      <c r="A356" s="17" t="s">
        <v>773</v>
      </c>
      <c r="B356" s="11" t="s">
        <v>140</v>
      </c>
      <c r="C356" s="11" t="s">
        <v>13</v>
      </c>
      <c r="D356" s="25" t="str">
        <f t="shared" si="28"/>
        <v>Item _Unknown_ PAT</v>
      </c>
      <c r="E356" s="27">
        <f t="shared" si="27"/>
        <v>15.5</v>
      </c>
      <c r="F356" s="12">
        <v>7</v>
      </c>
      <c r="G356" s="12">
        <v>108.5</v>
      </c>
      <c r="H356" s="11" t="s">
        <v>51</v>
      </c>
      <c r="I356" s="11" t="s">
        <v>39</v>
      </c>
      <c r="J356" s="41">
        <v>45132</v>
      </c>
      <c r="K356" s="29" t="b">
        <f t="shared" si="29"/>
        <v>0</v>
      </c>
      <c r="L356" s="29" t="str">
        <f t="shared" si="31"/>
        <v>No Discount</v>
      </c>
      <c r="M356" s="18" t="str">
        <f t="shared" si="30"/>
        <v>Loss</v>
      </c>
    </row>
    <row r="357" spans="1:13" ht="15.75" thickBot="1" x14ac:dyDescent="0.3">
      <c r="A357" s="16" t="s">
        <v>775</v>
      </c>
      <c r="B357" s="5" t="s">
        <v>44</v>
      </c>
      <c r="C357" s="5" t="s">
        <v>13</v>
      </c>
      <c r="D357" s="25" t="str">
        <f t="shared" si="28"/>
        <v>Item _Unknown_ MIL</v>
      </c>
      <c r="E357" s="27">
        <f t="shared" si="27"/>
        <v>32</v>
      </c>
      <c r="F357" s="6">
        <v>10</v>
      </c>
      <c r="G357" s="6">
        <v>320</v>
      </c>
      <c r="H357" s="5" t="s">
        <v>15</v>
      </c>
      <c r="I357" s="5" t="s">
        <v>39</v>
      </c>
      <c r="J357" s="40">
        <v>45248</v>
      </c>
      <c r="K357" s="29" t="b">
        <f t="shared" si="29"/>
        <v>0</v>
      </c>
      <c r="L357" s="29" t="str">
        <f t="shared" si="31"/>
        <v>No Discount</v>
      </c>
      <c r="M357" s="18" t="str">
        <f t="shared" si="30"/>
        <v>Medium</v>
      </c>
    </row>
    <row r="358" spans="1:13" ht="15.75" thickBot="1" x14ac:dyDescent="0.3">
      <c r="A358" s="17" t="s">
        <v>778</v>
      </c>
      <c r="B358" s="11" t="s">
        <v>149</v>
      </c>
      <c r="C358" s="11" t="s">
        <v>13</v>
      </c>
      <c r="D358" s="25" t="str">
        <f t="shared" si="28"/>
        <v>Item _Unknown_ FUR</v>
      </c>
      <c r="E358" s="27">
        <f t="shared" si="27"/>
        <v>20</v>
      </c>
      <c r="F358" s="12">
        <v>6</v>
      </c>
      <c r="G358" s="12">
        <v>120</v>
      </c>
      <c r="H358" s="11" t="s">
        <v>15</v>
      </c>
      <c r="I358" s="11" t="s">
        <v>16</v>
      </c>
      <c r="J358" s="41">
        <v>44902</v>
      </c>
      <c r="K358" s="29" t="b">
        <f t="shared" si="29"/>
        <v>0</v>
      </c>
      <c r="L358" s="29" t="str">
        <f t="shared" si="31"/>
        <v>No Discount</v>
      </c>
      <c r="M358" s="18" t="str">
        <f t="shared" si="30"/>
        <v>Loss</v>
      </c>
    </row>
    <row r="359" spans="1:13" ht="15.75" thickBot="1" x14ac:dyDescent="0.3">
      <c r="A359" s="16" t="s">
        <v>779</v>
      </c>
      <c r="B359" s="5" t="s">
        <v>136</v>
      </c>
      <c r="C359" s="5" t="s">
        <v>25</v>
      </c>
      <c r="D359" s="25" t="str">
        <f t="shared" si="28"/>
        <v>Item _Unknown_ BEV</v>
      </c>
      <c r="E359" s="27">
        <f t="shared" si="27"/>
        <v>14</v>
      </c>
      <c r="F359" s="6">
        <v>5</v>
      </c>
      <c r="G359" s="6">
        <v>70</v>
      </c>
      <c r="H359" s="5" t="s">
        <v>51</v>
      </c>
      <c r="I359" s="5" t="s">
        <v>39</v>
      </c>
      <c r="J359" s="40">
        <v>45655</v>
      </c>
      <c r="K359" s="29" t="b">
        <f t="shared" si="29"/>
        <v>0</v>
      </c>
      <c r="L359" s="29" t="str">
        <f t="shared" si="31"/>
        <v>No Discount</v>
      </c>
      <c r="M359" s="18" t="str">
        <f t="shared" si="30"/>
        <v>Loss</v>
      </c>
    </row>
    <row r="360" spans="1:13" ht="15.75" thickBot="1" x14ac:dyDescent="0.3">
      <c r="A360" s="17" t="s">
        <v>781</v>
      </c>
      <c r="B360" s="11" t="s">
        <v>48</v>
      </c>
      <c r="C360" s="11" t="s">
        <v>49</v>
      </c>
      <c r="D360" s="25" t="str">
        <f t="shared" si="28"/>
        <v>Item _Unknown_ PAT</v>
      </c>
      <c r="E360" s="27">
        <f t="shared" si="27"/>
        <v>38</v>
      </c>
      <c r="F360" s="12">
        <v>1</v>
      </c>
      <c r="G360" s="12">
        <v>38</v>
      </c>
      <c r="H360" s="11" t="s">
        <v>51</v>
      </c>
      <c r="I360" s="11" t="s">
        <v>39</v>
      </c>
      <c r="J360" s="41">
        <v>45006</v>
      </c>
      <c r="K360" s="29" t="b">
        <f t="shared" si="29"/>
        <v>0</v>
      </c>
      <c r="L360" s="29" t="str">
        <f t="shared" si="31"/>
        <v>No Discount</v>
      </c>
      <c r="M360" s="18" t="str">
        <f t="shared" si="30"/>
        <v>High Profit</v>
      </c>
    </row>
    <row r="361" spans="1:13" ht="30.75" thickBot="1" x14ac:dyDescent="0.3">
      <c r="A361" s="16" t="s">
        <v>783</v>
      </c>
      <c r="B361" s="5" t="s">
        <v>86</v>
      </c>
      <c r="C361" s="5" t="s">
        <v>158</v>
      </c>
      <c r="D361" s="25" t="str">
        <f t="shared" si="28"/>
        <v>Item _Unknown_ PAT</v>
      </c>
      <c r="E361" s="27">
        <f t="shared" si="27"/>
        <v>32</v>
      </c>
      <c r="F361" s="6">
        <v>3</v>
      </c>
      <c r="G361" s="6">
        <v>96</v>
      </c>
      <c r="H361" s="5" t="s">
        <v>27</v>
      </c>
      <c r="I361" s="5" t="s">
        <v>16</v>
      </c>
      <c r="J361" s="40">
        <v>44641</v>
      </c>
      <c r="K361" s="29" t="b">
        <f t="shared" si="29"/>
        <v>0</v>
      </c>
      <c r="L361" s="29" t="str">
        <f t="shared" si="31"/>
        <v>No Discount</v>
      </c>
      <c r="M361" s="18" t="str">
        <f t="shared" si="30"/>
        <v>Medium</v>
      </c>
    </row>
    <row r="362" spans="1:13" ht="15.75" thickBot="1" x14ac:dyDescent="0.3">
      <c r="A362" s="17" t="s">
        <v>784</v>
      </c>
      <c r="B362" s="11" t="s">
        <v>149</v>
      </c>
      <c r="C362" s="11" t="s">
        <v>13</v>
      </c>
      <c r="D362" s="25" t="str">
        <f t="shared" si="28"/>
        <v>Item _Unknown_ PAT</v>
      </c>
      <c r="E362" s="27">
        <f t="shared" si="27"/>
        <v>6.5</v>
      </c>
      <c r="F362" s="12">
        <v>8</v>
      </c>
      <c r="G362" s="12">
        <v>52</v>
      </c>
      <c r="H362" s="11" t="s">
        <v>15</v>
      </c>
      <c r="I362" s="11" t="s">
        <v>39</v>
      </c>
      <c r="J362" s="41">
        <v>45009</v>
      </c>
      <c r="K362" s="29" t="b">
        <f t="shared" si="29"/>
        <v>0</v>
      </c>
      <c r="L362" s="29" t="str">
        <f t="shared" si="31"/>
        <v>No Discount</v>
      </c>
      <c r="M362" s="18" t="str">
        <f t="shared" si="30"/>
        <v>Loss</v>
      </c>
    </row>
    <row r="363" spans="1:13" ht="15.75" thickBot="1" x14ac:dyDescent="0.3">
      <c r="A363" s="16" t="s">
        <v>787</v>
      </c>
      <c r="B363" s="5" t="s">
        <v>86</v>
      </c>
      <c r="C363" s="5" t="s">
        <v>49</v>
      </c>
      <c r="D363" s="25" t="str">
        <f t="shared" si="28"/>
        <v>Item _Unknown_ BEV</v>
      </c>
      <c r="E363" s="27">
        <f t="shared" si="27"/>
        <v>24.5</v>
      </c>
      <c r="F363" s="6">
        <v>5</v>
      </c>
      <c r="G363" s="6">
        <v>122.5</v>
      </c>
      <c r="H363" s="5" t="s">
        <v>15</v>
      </c>
      <c r="I363" s="5" t="s">
        <v>16</v>
      </c>
      <c r="J363" s="40">
        <v>45346</v>
      </c>
      <c r="K363" s="29" t="b">
        <f t="shared" si="29"/>
        <v>0</v>
      </c>
      <c r="L363" s="29" t="str">
        <f t="shared" si="31"/>
        <v>No Discount</v>
      </c>
      <c r="M363" s="18" t="str">
        <f t="shared" si="30"/>
        <v>Loss</v>
      </c>
    </row>
    <row r="364" spans="1:13" ht="15.75" thickBot="1" x14ac:dyDescent="0.3">
      <c r="A364" s="17" t="s">
        <v>789</v>
      </c>
      <c r="B364" s="11" t="s">
        <v>127</v>
      </c>
      <c r="C364" s="11" t="s">
        <v>42</v>
      </c>
      <c r="D364" s="25" t="str">
        <f t="shared" si="28"/>
        <v>Item _Unknown_ BUT</v>
      </c>
      <c r="E364" s="27">
        <f t="shared" si="27"/>
        <v>29</v>
      </c>
      <c r="F364" s="12">
        <v>9</v>
      </c>
      <c r="G364" s="12">
        <v>261</v>
      </c>
      <c r="H364" s="11" t="s">
        <v>15</v>
      </c>
      <c r="I364" s="11" t="s">
        <v>16</v>
      </c>
      <c r="J364" s="41">
        <v>45653</v>
      </c>
      <c r="K364" s="29" t="b">
        <f t="shared" si="29"/>
        <v>0</v>
      </c>
      <c r="L364" s="29" t="str">
        <f t="shared" si="31"/>
        <v>No Discount</v>
      </c>
      <c r="M364" s="18" t="str">
        <f t="shared" si="30"/>
        <v>Medium</v>
      </c>
    </row>
    <row r="365" spans="1:13" ht="30.75" thickBot="1" x14ac:dyDescent="0.3">
      <c r="A365" s="16" t="s">
        <v>791</v>
      </c>
      <c r="B365" s="5" t="s">
        <v>206</v>
      </c>
      <c r="C365" s="5" t="s">
        <v>75</v>
      </c>
      <c r="D365" s="25" t="str">
        <f t="shared" si="28"/>
        <v>Item _Unknown_ COM</v>
      </c>
      <c r="E365" s="27">
        <f t="shared" ref="E365:E425" si="32">G365/F365</f>
        <v>27.5</v>
      </c>
      <c r="F365" s="6">
        <v>8</v>
      </c>
      <c r="G365" s="6">
        <v>220</v>
      </c>
      <c r="H365" s="5" t="s">
        <v>27</v>
      </c>
      <c r="I365" s="5" t="s">
        <v>16</v>
      </c>
      <c r="J365" s="40">
        <v>44785</v>
      </c>
      <c r="K365" s="29" t="b">
        <f t="shared" si="29"/>
        <v>0</v>
      </c>
      <c r="L365" s="29" t="str">
        <f t="shared" si="31"/>
        <v>No Discount</v>
      </c>
      <c r="M365" s="18" t="str">
        <f t="shared" si="30"/>
        <v>Medium</v>
      </c>
    </row>
    <row r="366" spans="1:13" ht="15.75" thickBot="1" x14ac:dyDescent="0.3">
      <c r="A366" s="17" t="s">
        <v>792</v>
      </c>
      <c r="B366" s="11" t="s">
        <v>94</v>
      </c>
      <c r="C366" s="11" t="s">
        <v>20</v>
      </c>
      <c r="D366" s="25" t="str">
        <f t="shared" si="28"/>
        <v>Item _Unknown_ PAT</v>
      </c>
      <c r="E366" s="27">
        <f t="shared" si="32"/>
        <v>5</v>
      </c>
      <c r="F366" s="12">
        <v>7</v>
      </c>
      <c r="G366" s="12">
        <v>35</v>
      </c>
      <c r="H366" s="11" t="s">
        <v>27</v>
      </c>
      <c r="I366" s="11" t="s">
        <v>39</v>
      </c>
      <c r="J366" s="41">
        <v>44639</v>
      </c>
      <c r="K366" s="29" t="b">
        <f t="shared" si="29"/>
        <v>0</v>
      </c>
      <c r="L366" s="29" t="str">
        <f t="shared" si="31"/>
        <v>No Discount</v>
      </c>
      <c r="M366" s="18" t="str">
        <f t="shared" si="30"/>
        <v>Loss</v>
      </c>
    </row>
    <row r="367" spans="1:13" ht="30.75" thickBot="1" x14ac:dyDescent="0.3">
      <c r="A367" s="16" t="s">
        <v>794</v>
      </c>
      <c r="B367" s="5" t="s">
        <v>71</v>
      </c>
      <c r="C367" s="5" t="s">
        <v>75</v>
      </c>
      <c r="D367" s="25" t="str">
        <f t="shared" ref="D367:D424" si="33">"Item _Unknown_ "&amp;UPPER(LEFT(C363,3))</f>
        <v>Item _Unknown_ BUT</v>
      </c>
      <c r="E367" s="27">
        <f t="shared" si="32"/>
        <v>29</v>
      </c>
      <c r="F367" s="6">
        <v>9</v>
      </c>
      <c r="G367" s="6">
        <v>261</v>
      </c>
      <c r="H367" s="5" t="s">
        <v>15</v>
      </c>
      <c r="I367" s="5" t="s">
        <v>39</v>
      </c>
      <c r="J367" s="40">
        <v>45385</v>
      </c>
      <c r="K367" s="29" t="b">
        <f t="shared" si="29"/>
        <v>0</v>
      </c>
      <c r="L367" s="29" t="str">
        <f t="shared" si="31"/>
        <v>No Discount</v>
      </c>
      <c r="M367" s="18" t="str">
        <f t="shared" si="30"/>
        <v>Medium</v>
      </c>
    </row>
    <row r="368" spans="1:13" ht="30.75" thickBot="1" x14ac:dyDescent="0.3">
      <c r="A368" s="17" t="s">
        <v>795</v>
      </c>
      <c r="B368" s="11" t="s">
        <v>106</v>
      </c>
      <c r="C368" s="11" t="s">
        <v>75</v>
      </c>
      <c r="D368" s="25" t="str">
        <f t="shared" si="33"/>
        <v>Item _Unknown_ FUR</v>
      </c>
      <c r="E368" s="27">
        <f t="shared" si="32"/>
        <v>15.5</v>
      </c>
      <c r="F368" s="12">
        <v>1</v>
      </c>
      <c r="G368" s="12">
        <v>15.5</v>
      </c>
      <c r="H368" s="11" t="s">
        <v>27</v>
      </c>
      <c r="I368" s="11" t="s">
        <v>39</v>
      </c>
      <c r="J368" s="41">
        <v>44825</v>
      </c>
      <c r="K368" s="29" t="b">
        <f t="shared" si="29"/>
        <v>0</v>
      </c>
      <c r="L368" s="29" t="str">
        <f t="shared" si="31"/>
        <v>No Discount</v>
      </c>
      <c r="M368" s="18" t="str">
        <f t="shared" si="30"/>
        <v>Loss</v>
      </c>
    </row>
    <row r="369" spans="1:13" ht="15.75" thickBot="1" x14ac:dyDescent="0.3">
      <c r="A369" s="16" t="s">
        <v>796</v>
      </c>
      <c r="B369" s="5" t="s">
        <v>41</v>
      </c>
      <c r="C369" s="5" t="s">
        <v>42</v>
      </c>
      <c r="D369" s="25" t="str">
        <f t="shared" si="33"/>
        <v>Item _Unknown_ ELE</v>
      </c>
      <c r="E369" s="27">
        <f t="shared" si="32"/>
        <v>33.5</v>
      </c>
      <c r="F369" s="6">
        <v>2</v>
      </c>
      <c r="G369" s="6">
        <v>67</v>
      </c>
      <c r="H369" s="5" t="s">
        <v>51</v>
      </c>
      <c r="I369" s="5" t="s">
        <v>16</v>
      </c>
      <c r="J369" s="40">
        <v>44817</v>
      </c>
      <c r="K369" s="29" t="b">
        <f t="shared" si="29"/>
        <v>0</v>
      </c>
      <c r="L369" s="29" t="str">
        <f t="shared" si="31"/>
        <v>No Discount</v>
      </c>
      <c r="M369" s="18" t="str">
        <f t="shared" si="30"/>
        <v>Medium</v>
      </c>
    </row>
    <row r="370" spans="1:13" ht="15.75" thickBot="1" x14ac:dyDescent="0.3">
      <c r="A370" s="17" t="s">
        <v>799</v>
      </c>
      <c r="B370" s="11" t="s">
        <v>94</v>
      </c>
      <c r="C370" s="11" t="s">
        <v>13</v>
      </c>
      <c r="D370" s="25" t="str">
        <f t="shared" si="33"/>
        <v>Item _Unknown_ MIL</v>
      </c>
      <c r="E370" s="27">
        <f t="shared" si="32"/>
        <v>23</v>
      </c>
      <c r="F370" s="12">
        <v>1</v>
      </c>
      <c r="G370" s="12">
        <v>23</v>
      </c>
      <c r="H370" s="11" t="s">
        <v>27</v>
      </c>
      <c r="I370" s="11" t="s">
        <v>39</v>
      </c>
      <c r="J370" s="41">
        <v>45172</v>
      </c>
      <c r="K370" s="29" t="b">
        <f t="shared" si="29"/>
        <v>0</v>
      </c>
      <c r="L370" s="29" t="str">
        <f t="shared" si="31"/>
        <v>No Discount</v>
      </c>
      <c r="M370" s="18" t="str">
        <f t="shared" si="30"/>
        <v>Loss</v>
      </c>
    </row>
    <row r="371" spans="1:13" ht="15.75" thickBot="1" x14ac:dyDescent="0.3">
      <c r="A371" s="16" t="s">
        <v>800</v>
      </c>
      <c r="B371" s="5" t="s">
        <v>94</v>
      </c>
      <c r="C371" s="5" t="s">
        <v>25</v>
      </c>
      <c r="D371" s="25" t="str">
        <f t="shared" si="33"/>
        <v>Item _Unknown_ ELE</v>
      </c>
      <c r="E371" s="27">
        <f t="shared" si="32"/>
        <v>8</v>
      </c>
      <c r="F371" s="6">
        <v>3</v>
      </c>
      <c r="G371" s="6">
        <v>24</v>
      </c>
      <c r="H371" s="5" t="s">
        <v>27</v>
      </c>
      <c r="I371" s="5" t="s">
        <v>16</v>
      </c>
      <c r="J371" s="40">
        <v>45525</v>
      </c>
      <c r="K371" s="29" t="b">
        <f t="shared" si="29"/>
        <v>0</v>
      </c>
      <c r="L371" s="29" t="str">
        <f t="shared" si="31"/>
        <v>No Discount</v>
      </c>
      <c r="M371" s="18" t="str">
        <f t="shared" si="30"/>
        <v>Loss</v>
      </c>
    </row>
    <row r="372" spans="1:13" ht="15.75" thickBot="1" x14ac:dyDescent="0.3">
      <c r="A372" s="17" t="s">
        <v>802</v>
      </c>
      <c r="B372" s="11" t="s">
        <v>106</v>
      </c>
      <c r="C372" s="11" t="s">
        <v>49</v>
      </c>
      <c r="D372" s="25" t="str">
        <f t="shared" si="33"/>
        <v>Item _Unknown_ ELE</v>
      </c>
      <c r="E372" s="27">
        <f t="shared" si="32"/>
        <v>12.5</v>
      </c>
      <c r="F372" s="12">
        <v>9</v>
      </c>
      <c r="G372" s="12">
        <v>112.5</v>
      </c>
      <c r="H372" s="11" t="s">
        <v>51</v>
      </c>
      <c r="I372" s="11" t="s">
        <v>16</v>
      </c>
      <c r="J372" s="41">
        <v>44786</v>
      </c>
      <c r="K372" s="29" t="b">
        <f t="shared" si="29"/>
        <v>0</v>
      </c>
      <c r="L372" s="29" t="str">
        <f t="shared" si="31"/>
        <v>No Discount</v>
      </c>
      <c r="M372" s="18" t="str">
        <f t="shared" si="30"/>
        <v>Loss</v>
      </c>
    </row>
    <row r="373" spans="1:13" ht="15.75" thickBot="1" x14ac:dyDescent="0.3">
      <c r="A373" s="16" t="s">
        <v>805</v>
      </c>
      <c r="B373" s="5" t="s">
        <v>78</v>
      </c>
      <c r="C373" s="5" t="s">
        <v>25</v>
      </c>
      <c r="D373" s="25" t="str">
        <f t="shared" si="33"/>
        <v>Item _Unknown_ FUR</v>
      </c>
      <c r="E373" s="27">
        <f t="shared" si="32"/>
        <v>27.5</v>
      </c>
      <c r="F373" s="6">
        <v>10</v>
      </c>
      <c r="G373" s="6">
        <v>275</v>
      </c>
      <c r="H373" s="5" t="s">
        <v>27</v>
      </c>
      <c r="I373" s="5" t="s">
        <v>16</v>
      </c>
      <c r="J373" s="40">
        <v>45047</v>
      </c>
      <c r="K373" s="29" t="b">
        <f t="shared" si="29"/>
        <v>0</v>
      </c>
      <c r="L373" s="29" t="str">
        <f t="shared" si="31"/>
        <v>No Discount</v>
      </c>
      <c r="M373" s="18" t="str">
        <f t="shared" si="30"/>
        <v>Medium</v>
      </c>
    </row>
    <row r="374" spans="1:13" ht="15.75" thickBot="1" x14ac:dyDescent="0.3">
      <c r="A374" s="17" t="s">
        <v>806</v>
      </c>
      <c r="B374" s="11" t="s">
        <v>78</v>
      </c>
      <c r="C374" s="11" t="s">
        <v>49</v>
      </c>
      <c r="D374" s="25" t="str">
        <f t="shared" si="33"/>
        <v>Item _Unknown_ PAT</v>
      </c>
      <c r="E374" s="27">
        <f t="shared" si="32"/>
        <v>38</v>
      </c>
      <c r="F374" s="12">
        <v>5</v>
      </c>
      <c r="G374" s="12">
        <v>190</v>
      </c>
      <c r="H374" s="11" t="s">
        <v>27</v>
      </c>
      <c r="I374" s="11" t="s">
        <v>16</v>
      </c>
      <c r="J374" s="41">
        <v>45188</v>
      </c>
      <c r="K374" s="29" t="b">
        <f t="shared" si="29"/>
        <v>0</v>
      </c>
      <c r="L374" s="29" t="str">
        <f t="shared" si="31"/>
        <v>No Discount</v>
      </c>
      <c r="M374" s="18" t="str">
        <f t="shared" si="30"/>
        <v>High Profit</v>
      </c>
    </row>
    <row r="375" spans="1:13" ht="15.75" thickBot="1" x14ac:dyDescent="0.3">
      <c r="A375" s="16" t="s">
        <v>808</v>
      </c>
      <c r="B375" s="5" t="s">
        <v>99</v>
      </c>
      <c r="C375" s="5" t="s">
        <v>13</v>
      </c>
      <c r="D375" s="25" t="str">
        <f t="shared" si="33"/>
        <v>Item _Unknown_ BEV</v>
      </c>
      <c r="E375" s="27">
        <f t="shared" si="32"/>
        <v>17</v>
      </c>
      <c r="F375" s="6">
        <v>4</v>
      </c>
      <c r="G375" s="6">
        <v>68</v>
      </c>
      <c r="H375" s="5" t="s">
        <v>27</v>
      </c>
      <c r="I375" s="5" t="s">
        <v>39</v>
      </c>
      <c r="J375" s="40">
        <v>45110</v>
      </c>
      <c r="K375" s="29" t="b">
        <f t="shared" si="29"/>
        <v>0</v>
      </c>
      <c r="L375" s="29" t="str">
        <f t="shared" si="31"/>
        <v>No Discount</v>
      </c>
      <c r="M375" s="18" t="str">
        <f t="shared" si="30"/>
        <v>Loss</v>
      </c>
    </row>
    <row r="376" spans="1:13" ht="15.75" thickBot="1" x14ac:dyDescent="0.3">
      <c r="A376" s="17" t="s">
        <v>809</v>
      </c>
      <c r="B376" s="11" t="s">
        <v>19</v>
      </c>
      <c r="C376" s="11" t="s">
        <v>20</v>
      </c>
      <c r="D376" s="25" t="str">
        <f t="shared" si="33"/>
        <v>Item _Unknown_ BUT</v>
      </c>
      <c r="E376" s="27">
        <f t="shared" si="32"/>
        <v>8</v>
      </c>
      <c r="F376" s="12">
        <v>8</v>
      </c>
      <c r="G376" s="12">
        <v>64</v>
      </c>
      <c r="H376" s="11" t="s">
        <v>15</v>
      </c>
      <c r="I376" s="11" t="s">
        <v>16</v>
      </c>
      <c r="J376" s="41">
        <v>45273</v>
      </c>
      <c r="K376" s="29" t="b">
        <f t="shared" si="29"/>
        <v>0</v>
      </c>
      <c r="L376" s="29" t="str">
        <f t="shared" si="31"/>
        <v>No Discount</v>
      </c>
      <c r="M376" s="18" t="str">
        <f t="shared" si="30"/>
        <v>Loss</v>
      </c>
    </row>
    <row r="377" spans="1:13" ht="15.75" thickBot="1" x14ac:dyDescent="0.3">
      <c r="A377" s="16" t="s">
        <v>811</v>
      </c>
      <c r="B377" s="5" t="s">
        <v>24</v>
      </c>
      <c r="C377" s="5" t="s">
        <v>13</v>
      </c>
      <c r="D377" s="25" t="str">
        <f t="shared" si="33"/>
        <v>Item _Unknown_ BEV</v>
      </c>
      <c r="E377" s="27">
        <f t="shared" si="32"/>
        <v>36.5</v>
      </c>
      <c r="F377" s="6">
        <v>5</v>
      </c>
      <c r="G377" s="6">
        <v>182.5</v>
      </c>
      <c r="H377" s="5" t="s">
        <v>15</v>
      </c>
      <c r="I377" s="5" t="s">
        <v>39</v>
      </c>
      <c r="J377" s="40">
        <v>44852</v>
      </c>
      <c r="K377" s="29" t="b">
        <f t="shared" si="29"/>
        <v>0</v>
      </c>
      <c r="L377" s="29" t="str">
        <f t="shared" si="31"/>
        <v>No Discount</v>
      </c>
      <c r="M377" s="18" t="str">
        <f t="shared" si="30"/>
        <v>High Profit</v>
      </c>
    </row>
    <row r="378" spans="1:13" ht="30.75" thickBot="1" x14ac:dyDescent="0.3">
      <c r="A378" s="17" t="s">
        <v>813</v>
      </c>
      <c r="B378" s="11" t="s">
        <v>120</v>
      </c>
      <c r="C378" s="11" t="s">
        <v>75</v>
      </c>
      <c r="D378" s="25" t="str">
        <f t="shared" si="33"/>
        <v>Item _Unknown_ BUT</v>
      </c>
      <c r="E378" s="27">
        <f t="shared" si="32"/>
        <v>20</v>
      </c>
      <c r="F378" s="12">
        <v>3</v>
      </c>
      <c r="G378" s="12">
        <v>60</v>
      </c>
      <c r="H378" s="11" t="s">
        <v>27</v>
      </c>
      <c r="I378" s="11" t="s">
        <v>39</v>
      </c>
      <c r="J378" s="41">
        <v>45045</v>
      </c>
      <c r="K378" s="29" t="b">
        <f t="shared" si="29"/>
        <v>0</v>
      </c>
      <c r="L378" s="29" t="str">
        <f t="shared" si="31"/>
        <v>No Discount</v>
      </c>
      <c r="M378" s="18" t="str">
        <f t="shared" si="30"/>
        <v>Loss</v>
      </c>
    </row>
    <row r="379" spans="1:13" ht="15.75" thickBot="1" x14ac:dyDescent="0.3">
      <c r="A379" s="16" t="s">
        <v>814</v>
      </c>
      <c r="B379" s="5" t="s">
        <v>74</v>
      </c>
      <c r="C379" s="5" t="s">
        <v>30</v>
      </c>
      <c r="D379" s="25" t="str">
        <f t="shared" si="33"/>
        <v>Item _Unknown_ PAT</v>
      </c>
      <c r="E379" s="27">
        <f t="shared" si="32"/>
        <v>20</v>
      </c>
      <c r="F379" s="6">
        <v>3</v>
      </c>
      <c r="G379" s="6">
        <v>60</v>
      </c>
      <c r="H379" s="5" t="s">
        <v>51</v>
      </c>
      <c r="I379" s="5" t="s">
        <v>16</v>
      </c>
      <c r="J379" s="40">
        <v>45417</v>
      </c>
      <c r="K379" s="29" t="b">
        <f t="shared" si="29"/>
        <v>0</v>
      </c>
      <c r="L379" s="29" t="str">
        <f t="shared" si="31"/>
        <v>No Discount</v>
      </c>
      <c r="M379" s="18" t="str">
        <f t="shared" si="30"/>
        <v>Loss</v>
      </c>
    </row>
    <row r="380" spans="1:13" ht="15.75" thickBot="1" x14ac:dyDescent="0.3">
      <c r="A380" s="17" t="s">
        <v>815</v>
      </c>
      <c r="B380" s="11" t="s">
        <v>117</v>
      </c>
      <c r="C380" s="11" t="s">
        <v>13</v>
      </c>
      <c r="D380" s="25" t="str">
        <f t="shared" si="33"/>
        <v>Item _Unknown_ MIL</v>
      </c>
      <c r="E380" s="27">
        <f t="shared" si="32"/>
        <v>29</v>
      </c>
      <c r="F380" s="12">
        <v>8</v>
      </c>
      <c r="G380" s="12">
        <v>232</v>
      </c>
      <c r="H380" s="11" t="s">
        <v>51</v>
      </c>
      <c r="I380" s="11" t="s">
        <v>16</v>
      </c>
      <c r="J380" s="41">
        <v>45612</v>
      </c>
      <c r="K380" s="29" t="b">
        <f t="shared" si="29"/>
        <v>0</v>
      </c>
      <c r="L380" s="29" t="str">
        <f t="shared" si="31"/>
        <v>No Discount</v>
      </c>
      <c r="M380" s="18" t="str">
        <f t="shared" si="30"/>
        <v>Medium</v>
      </c>
    </row>
    <row r="381" spans="1:13" ht="30.75" thickBot="1" x14ac:dyDescent="0.3">
      <c r="A381" s="16" t="s">
        <v>816</v>
      </c>
      <c r="B381" s="5" t="s">
        <v>127</v>
      </c>
      <c r="C381" s="5" t="s">
        <v>158</v>
      </c>
      <c r="D381" s="25" t="str">
        <f t="shared" si="33"/>
        <v>Item _Unknown_ PAT</v>
      </c>
      <c r="E381" s="27">
        <f t="shared" si="32"/>
        <v>39.5</v>
      </c>
      <c r="F381" s="6">
        <v>8</v>
      </c>
      <c r="G381" s="6">
        <v>316</v>
      </c>
      <c r="H381" s="5" t="s">
        <v>51</v>
      </c>
      <c r="I381" s="5" t="s">
        <v>16</v>
      </c>
      <c r="J381" s="40">
        <v>45649</v>
      </c>
      <c r="K381" s="29" t="b">
        <f t="shared" si="29"/>
        <v>0</v>
      </c>
      <c r="L381" s="29" t="str">
        <f t="shared" si="31"/>
        <v>No Discount</v>
      </c>
      <c r="M381" s="18" t="str">
        <f t="shared" si="30"/>
        <v>High Profit</v>
      </c>
    </row>
    <row r="382" spans="1:13" ht="30.75" thickBot="1" x14ac:dyDescent="0.3">
      <c r="A382" s="17" t="s">
        <v>818</v>
      </c>
      <c r="B382" s="11" t="s">
        <v>206</v>
      </c>
      <c r="C382" s="11" t="s">
        <v>158</v>
      </c>
      <c r="D382" s="25" t="str">
        <f t="shared" si="33"/>
        <v>Item _Unknown_ ELE</v>
      </c>
      <c r="E382" s="27">
        <f t="shared" si="32"/>
        <v>36.5</v>
      </c>
      <c r="F382" s="12">
        <v>2</v>
      </c>
      <c r="G382" s="12">
        <v>73</v>
      </c>
      <c r="H382" s="11" t="s">
        <v>51</v>
      </c>
      <c r="I382" s="11" t="s">
        <v>39</v>
      </c>
      <c r="J382" s="41">
        <v>45045</v>
      </c>
      <c r="K382" s="29" t="b">
        <f t="shared" si="29"/>
        <v>0</v>
      </c>
      <c r="L382" s="29" t="str">
        <f t="shared" si="31"/>
        <v>No Discount</v>
      </c>
      <c r="M382" s="18" t="str">
        <f t="shared" si="30"/>
        <v>High Profit</v>
      </c>
    </row>
    <row r="383" spans="1:13" ht="15.75" thickBot="1" x14ac:dyDescent="0.3">
      <c r="A383" s="16" t="s">
        <v>819</v>
      </c>
      <c r="B383" s="5" t="s">
        <v>24</v>
      </c>
      <c r="C383" s="5" t="s">
        <v>42</v>
      </c>
      <c r="D383" s="25" t="str">
        <f t="shared" si="33"/>
        <v>Item _Unknown_ FOO</v>
      </c>
      <c r="E383" s="27">
        <f t="shared" si="32"/>
        <v>17</v>
      </c>
      <c r="F383" s="6">
        <v>4</v>
      </c>
      <c r="G383" s="6">
        <v>68</v>
      </c>
      <c r="H383" s="5" t="s">
        <v>51</v>
      </c>
      <c r="I383" s="5" t="s">
        <v>39</v>
      </c>
      <c r="J383" s="40">
        <v>44878</v>
      </c>
      <c r="K383" s="29" t="b">
        <f t="shared" si="29"/>
        <v>0</v>
      </c>
      <c r="L383" s="29" t="str">
        <f t="shared" si="31"/>
        <v>No Discount</v>
      </c>
      <c r="M383" s="18" t="str">
        <f t="shared" si="30"/>
        <v>Loss</v>
      </c>
    </row>
    <row r="384" spans="1:13" ht="30.75" thickBot="1" x14ac:dyDescent="0.3">
      <c r="A384" s="17" t="s">
        <v>822</v>
      </c>
      <c r="B384" s="11" t="s">
        <v>60</v>
      </c>
      <c r="C384" s="11" t="s">
        <v>75</v>
      </c>
      <c r="D384" s="25" t="str">
        <f t="shared" si="33"/>
        <v>Item _Unknown_ PAT</v>
      </c>
      <c r="E384" s="27">
        <f t="shared" si="32"/>
        <v>35</v>
      </c>
      <c r="F384" s="12">
        <v>8</v>
      </c>
      <c r="G384" s="12">
        <v>280</v>
      </c>
      <c r="H384" s="11" t="s">
        <v>27</v>
      </c>
      <c r="I384" s="11" t="s">
        <v>16</v>
      </c>
      <c r="J384" s="41">
        <v>45531</v>
      </c>
      <c r="K384" s="29" t="b">
        <f t="shared" si="29"/>
        <v>0</v>
      </c>
      <c r="L384" s="29" t="str">
        <f t="shared" si="31"/>
        <v>No Discount</v>
      </c>
      <c r="M384" s="18" t="str">
        <f t="shared" si="30"/>
        <v>High Profit</v>
      </c>
    </row>
    <row r="385" spans="1:13" ht="30.75" thickBot="1" x14ac:dyDescent="0.3">
      <c r="A385" s="17" t="s">
        <v>825</v>
      </c>
      <c r="B385" s="11" t="s">
        <v>120</v>
      </c>
      <c r="C385" s="11" t="s">
        <v>158</v>
      </c>
      <c r="D385" s="25" t="str">
        <f>"Item _Unknown_ "&amp;UPPER(LEFT(C382,3))</f>
        <v>Item _Unknown_ COM</v>
      </c>
      <c r="E385" s="27">
        <f t="shared" si="32"/>
        <v>32</v>
      </c>
      <c r="F385" s="12">
        <v>10</v>
      </c>
      <c r="G385" s="12">
        <v>320</v>
      </c>
      <c r="H385" s="11" t="s">
        <v>51</v>
      </c>
      <c r="I385" s="11" t="s">
        <v>16</v>
      </c>
      <c r="J385" s="41">
        <v>44852</v>
      </c>
      <c r="K385" s="29" t="b">
        <f t="shared" si="29"/>
        <v>0</v>
      </c>
      <c r="L385" s="29" t="str">
        <f t="shared" si="31"/>
        <v>No Discount</v>
      </c>
      <c r="M385" s="18" t="str">
        <f t="shared" si="30"/>
        <v>Medium</v>
      </c>
    </row>
    <row r="386" spans="1:13" ht="15.75" thickBot="1" x14ac:dyDescent="0.3">
      <c r="A386" s="16" t="s">
        <v>826</v>
      </c>
      <c r="B386" s="5" t="s">
        <v>29</v>
      </c>
      <c r="C386" s="5" t="s">
        <v>42</v>
      </c>
      <c r="D386" s="25" t="str">
        <f>"Item _Unknown_ "&amp;UPPER(LEFT(C383,3))</f>
        <v>Item _Unknown_ FUR</v>
      </c>
      <c r="E386" s="27">
        <f t="shared" si="32"/>
        <v>33.5</v>
      </c>
      <c r="F386" s="6">
        <v>1</v>
      </c>
      <c r="G386" s="6">
        <v>33.5</v>
      </c>
      <c r="H386" s="5" t="s">
        <v>15</v>
      </c>
      <c r="I386" s="5" t="s">
        <v>39</v>
      </c>
      <c r="J386" s="40">
        <v>44833</v>
      </c>
      <c r="K386" s="29" t="b">
        <f t="shared" ref="K386:K449" si="34">IF(ROUND(E386*F386,2)=G386,FALSE,TRUE)</f>
        <v>0</v>
      </c>
      <c r="L386" s="29" t="str">
        <f t="shared" si="31"/>
        <v>No Discount</v>
      </c>
      <c r="M386" s="18" t="str">
        <f t="shared" ref="M386:M449" si="35">IF(E386&gt;=35,"High Profit",IF(E386&gt;=25,"Medium","Loss"))</f>
        <v>Medium</v>
      </c>
    </row>
    <row r="387" spans="1:13" ht="30.75" thickBot="1" x14ac:dyDescent="0.3">
      <c r="A387" s="17" t="s">
        <v>827</v>
      </c>
      <c r="B387" s="11" t="s">
        <v>149</v>
      </c>
      <c r="C387" s="11" t="s">
        <v>75</v>
      </c>
      <c r="D387" s="25" t="str">
        <f>"Item _Unknown_ "&amp;UPPER(LEFT(C384,3))</f>
        <v>Item _Unknown_ ELE</v>
      </c>
      <c r="E387" s="27">
        <f t="shared" si="32"/>
        <v>38</v>
      </c>
      <c r="F387" s="12">
        <v>6</v>
      </c>
      <c r="G387" s="12">
        <v>228</v>
      </c>
      <c r="H387" s="11" t="s">
        <v>27</v>
      </c>
      <c r="I387" s="11" t="s">
        <v>16</v>
      </c>
      <c r="J387" s="41">
        <v>45311</v>
      </c>
      <c r="K387" s="29" t="b">
        <f t="shared" si="34"/>
        <v>0</v>
      </c>
      <c r="L387" s="29" t="str">
        <f t="shared" ref="L387:L450" si="36">IF(K387=FALSE,"No Discount","Discount Applied")</f>
        <v>No Discount</v>
      </c>
      <c r="M387" s="18" t="str">
        <f t="shared" si="35"/>
        <v>High Profit</v>
      </c>
    </row>
    <row r="388" spans="1:13" ht="15.75" thickBot="1" x14ac:dyDescent="0.3">
      <c r="A388" s="16" t="s">
        <v>829</v>
      </c>
      <c r="B388" s="5" t="s">
        <v>78</v>
      </c>
      <c r="C388" s="5" t="s">
        <v>49</v>
      </c>
      <c r="D388" s="25" t="str">
        <f>"Item _Unknown_ "&amp;UPPER(LEFT(C379,3))</f>
        <v>Item _Unknown_ FOO</v>
      </c>
      <c r="E388" s="27">
        <f t="shared" si="32"/>
        <v>21.5</v>
      </c>
      <c r="F388" s="6">
        <v>3</v>
      </c>
      <c r="G388" s="6">
        <v>64.5</v>
      </c>
      <c r="H388" s="5" t="s">
        <v>15</v>
      </c>
      <c r="I388" s="5" t="s">
        <v>16</v>
      </c>
      <c r="J388" s="40">
        <v>44885</v>
      </c>
      <c r="K388" s="29" t="b">
        <f t="shared" si="34"/>
        <v>0</v>
      </c>
      <c r="L388" s="29" t="str">
        <f t="shared" si="36"/>
        <v>No Discount</v>
      </c>
      <c r="M388" s="18" t="str">
        <f t="shared" si="35"/>
        <v>Loss</v>
      </c>
    </row>
    <row r="389" spans="1:13" ht="15.75" thickBot="1" x14ac:dyDescent="0.3">
      <c r="A389" s="17" t="s">
        <v>831</v>
      </c>
      <c r="B389" s="11" t="s">
        <v>86</v>
      </c>
      <c r="C389" s="11" t="s">
        <v>49</v>
      </c>
      <c r="D389" s="25" t="str">
        <f t="shared" si="33"/>
        <v>Item _Unknown_ COM</v>
      </c>
      <c r="E389" s="27">
        <f t="shared" si="32"/>
        <v>21.5</v>
      </c>
      <c r="F389" s="12">
        <v>8</v>
      </c>
      <c r="G389" s="12">
        <v>172</v>
      </c>
      <c r="H389" s="11" t="s">
        <v>27</v>
      </c>
      <c r="I389" s="11" t="s">
        <v>39</v>
      </c>
      <c r="J389" s="41">
        <v>45071</v>
      </c>
      <c r="K389" s="29" t="b">
        <f t="shared" si="34"/>
        <v>0</v>
      </c>
      <c r="L389" s="29" t="str">
        <f t="shared" si="36"/>
        <v>No Discount</v>
      </c>
      <c r="M389" s="18" t="str">
        <f t="shared" si="35"/>
        <v>Loss</v>
      </c>
    </row>
    <row r="390" spans="1:13" ht="30.75" thickBot="1" x14ac:dyDescent="0.3">
      <c r="A390" s="16" t="s">
        <v>833</v>
      </c>
      <c r="B390" s="5" t="s">
        <v>86</v>
      </c>
      <c r="C390" s="5" t="s">
        <v>158</v>
      </c>
      <c r="D390" s="25" t="str">
        <f t="shared" si="33"/>
        <v>Item _Unknown_ FUR</v>
      </c>
      <c r="E390" s="27">
        <f t="shared" si="32"/>
        <v>24.5</v>
      </c>
      <c r="F390" s="6">
        <v>6</v>
      </c>
      <c r="G390" s="6">
        <v>147</v>
      </c>
      <c r="H390" s="5" t="s">
        <v>15</v>
      </c>
      <c r="I390" s="5" t="s">
        <v>39</v>
      </c>
      <c r="J390" s="40">
        <v>44680</v>
      </c>
      <c r="K390" s="29" t="b">
        <f t="shared" si="34"/>
        <v>0</v>
      </c>
      <c r="L390" s="29" t="str">
        <f t="shared" si="36"/>
        <v>No Discount</v>
      </c>
      <c r="M390" s="18" t="str">
        <f t="shared" si="35"/>
        <v>Loss</v>
      </c>
    </row>
    <row r="391" spans="1:13" ht="15.75" thickBot="1" x14ac:dyDescent="0.3">
      <c r="A391" s="17" t="s">
        <v>835</v>
      </c>
      <c r="B391" s="11" t="s">
        <v>78</v>
      </c>
      <c r="C391" s="11" t="s">
        <v>20</v>
      </c>
      <c r="D391" s="25" t="str">
        <f t="shared" si="33"/>
        <v>Item _Unknown_ ELE</v>
      </c>
      <c r="E391" s="27">
        <f t="shared" si="32"/>
        <v>6.5</v>
      </c>
      <c r="F391" s="12">
        <v>1</v>
      </c>
      <c r="G391" s="12">
        <v>6.5</v>
      </c>
      <c r="H391" s="11" t="s">
        <v>27</v>
      </c>
      <c r="I391" s="11" t="s">
        <v>16</v>
      </c>
      <c r="J391" s="41">
        <v>44572</v>
      </c>
      <c r="K391" s="29" t="b">
        <f t="shared" si="34"/>
        <v>0</v>
      </c>
      <c r="L391" s="29" t="str">
        <f t="shared" si="36"/>
        <v>No Discount</v>
      </c>
      <c r="M391" s="18" t="str">
        <f t="shared" si="35"/>
        <v>Loss</v>
      </c>
    </row>
    <row r="392" spans="1:13" ht="30.75" thickBot="1" x14ac:dyDescent="0.3">
      <c r="A392" s="16" t="s">
        <v>836</v>
      </c>
      <c r="B392" s="5" t="s">
        <v>106</v>
      </c>
      <c r="C392" s="5" t="s">
        <v>158</v>
      </c>
      <c r="D392" s="25" t="str">
        <f t="shared" si="33"/>
        <v>Item _Unknown_ BUT</v>
      </c>
      <c r="E392" s="27">
        <f t="shared" si="32"/>
        <v>21.5</v>
      </c>
      <c r="F392" s="6">
        <v>9</v>
      </c>
      <c r="G392" s="6">
        <v>193.5</v>
      </c>
      <c r="H392" s="5" t="s">
        <v>51</v>
      </c>
      <c r="I392" s="5" t="s">
        <v>16</v>
      </c>
      <c r="J392" s="40">
        <v>45600</v>
      </c>
      <c r="K392" s="29" t="b">
        <f t="shared" si="34"/>
        <v>0</v>
      </c>
      <c r="L392" s="29" t="str">
        <f t="shared" si="36"/>
        <v>No Discount</v>
      </c>
      <c r="M392" s="18" t="str">
        <f t="shared" si="35"/>
        <v>Loss</v>
      </c>
    </row>
    <row r="393" spans="1:13" ht="30.75" thickBot="1" x14ac:dyDescent="0.3">
      <c r="A393" s="17" t="s">
        <v>838</v>
      </c>
      <c r="B393" s="11" t="s">
        <v>117</v>
      </c>
      <c r="C393" s="11" t="s">
        <v>75</v>
      </c>
      <c r="D393" s="25" t="str">
        <f t="shared" si="33"/>
        <v>Item _Unknown_ BUT</v>
      </c>
      <c r="E393" s="27">
        <f t="shared" si="32"/>
        <v>33.5</v>
      </c>
      <c r="F393" s="12">
        <v>4</v>
      </c>
      <c r="G393" s="12">
        <v>134</v>
      </c>
      <c r="H393" s="11" t="s">
        <v>27</v>
      </c>
      <c r="I393" s="11" t="s">
        <v>16</v>
      </c>
      <c r="J393" s="41">
        <v>45303</v>
      </c>
      <c r="K393" s="29" t="b">
        <f t="shared" si="34"/>
        <v>0</v>
      </c>
      <c r="L393" s="29" t="str">
        <f t="shared" si="36"/>
        <v>No Discount</v>
      </c>
      <c r="M393" s="18" t="str">
        <f t="shared" si="35"/>
        <v>Medium</v>
      </c>
    </row>
    <row r="394" spans="1:13" ht="15.75" thickBot="1" x14ac:dyDescent="0.3">
      <c r="A394" s="16" t="s">
        <v>839</v>
      </c>
      <c r="B394" s="5" t="s">
        <v>136</v>
      </c>
      <c r="C394" s="5" t="s">
        <v>42</v>
      </c>
      <c r="D394" s="25" t="str">
        <f t="shared" si="33"/>
        <v>Item _Unknown_ COM</v>
      </c>
      <c r="E394" s="27">
        <f t="shared" si="32"/>
        <v>27.5</v>
      </c>
      <c r="F394" s="6">
        <v>1</v>
      </c>
      <c r="G394" s="6">
        <v>27.5</v>
      </c>
      <c r="H394" s="5" t="s">
        <v>27</v>
      </c>
      <c r="I394" s="5" t="s">
        <v>16</v>
      </c>
      <c r="J394" s="40">
        <v>44641</v>
      </c>
      <c r="K394" s="29" t="b">
        <f t="shared" si="34"/>
        <v>0</v>
      </c>
      <c r="L394" s="29" t="str">
        <f t="shared" si="36"/>
        <v>No Discount</v>
      </c>
      <c r="M394" s="18" t="str">
        <f t="shared" si="35"/>
        <v>Medium</v>
      </c>
    </row>
    <row r="395" spans="1:13" ht="30.75" thickBot="1" x14ac:dyDescent="0.3">
      <c r="A395" s="17" t="s">
        <v>840</v>
      </c>
      <c r="B395" s="11" t="s">
        <v>136</v>
      </c>
      <c r="C395" s="11" t="s">
        <v>75</v>
      </c>
      <c r="D395" s="25" t="str">
        <f t="shared" si="33"/>
        <v>Item _Unknown_ MIL</v>
      </c>
      <c r="E395" s="27">
        <f t="shared" si="32"/>
        <v>11</v>
      </c>
      <c r="F395" s="12">
        <v>3</v>
      </c>
      <c r="G395" s="12">
        <v>33</v>
      </c>
      <c r="H395" s="11" t="s">
        <v>51</v>
      </c>
      <c r="I395" s="11" t="s">
        <v>39</v>
      </c>
      <c r="J395" s="41">
        <v>45322</v>
      </c>
      <c r="K395" s="29" t="b">
        <f t="shared" si="34"/>
        <v>0</v>
      </c>
      <c r="L395" s="29" t="str">
        <f t="shared" si="36"/>
        <v>No Discount</v>
      </c>
      <c r="M395" s="18" t="str">
        <f t="shared" si="35"/>
        <v>Loss</v>
      </c>
    </row>
    <row r="396" spans="1:13" ht="15.75" thickBot="1" x14ac:dyDescent="0.3">
      <c r="A396" s="16" t="s">
        <v>842</v>
      </c>
      <c r="B396" s="5" t="s">
        <v>117</v>
      </c>
      <c r="C396" s="5" t="s">
        <v>49</v>
      </c>
      <c r="D396" s="25" t="str">
        <f t="shared" si="33"/>
        <v>Item _Unknown_ COM</v>
      </c>
      <c r="E396" s="27">
        <f t="shared" si="32"/>
        <v>36.5</v>
      </c>
      <c r="F396" s="6">
        <v>8</v>
      </c>
      <c r="G396" s="6">
        <v>292</v>
      </c>
      <c r="H396" s="5" t="s">
        <v>15</v>
      </c>
      <c r="I396" s="5" t="s">
        <v>16</v>
      </c>
      <c r="J396" s="40">
        <v>45107</v>
      </c>
      <c r="K396" s="29" t="b">
        <f t="shared" si="34"/>
        <v>0</v>
      </c>
      <c r="L396" s="29" t="str">
        <f t="shared" si="36"/>
        <v>No Discount</v>
      </c>
      <c r="M396" s="18" t="str">
        <f t="shared" si="35"/>
        <v>High Profit</v>
      </c>
    </row>
    <row r="397" spans="1:13" ht="30.75" thickBot="1" x14ac:dyDescent="0.3">
      <c r="A397" s="17" t="s">
        <v>844</v>
      </c>
      <c r="B397" s="11" t="s">
        <v>44</v>
      </c>
      <c r="C397" s="11" t="s">
        <v>75</v>
      </c>
      <c r="D397" s="25" t="str">
        <f t="shared" si="33"/>
        <v>Item _Unknown_ ELE</v>
      </c>
      <c r="E397" s="27">
        <f t="shared" si="32"/>
        <v>32</v>
      </c>
      <c r="F397" s="12">
        <v>6</v>
      </c>
      <c r="G397" s="12">
        <v>192</v>
      </c>
      <c r="H397" s="11" t="s">
        <v>27</v>
      </c>
      <c r="I397" s="11" t="s">
        <v>39</v>
      </c>
      <c r="J397" s="41">
        <v>45284</v>
      </c>
      <c r="K397" s="29" t="b">
        <f t="shared" si="34"/>
        <v>0</v>
      </c>
      <c r="L397" s="29" t="str">
        <f t="shared" si="36"/>
        <v>No Discount</v>
      </c>
      <c r="M397" s="18" t="str">
        <f t="shared" si="35"/>
        <v>Medium</v>
      </c>
    </row>
    <row r="398" spans="1:13" ht="15.75" thickBot="1" x14ac:dyDescent="0.3">
      <c r="A398" s="16" t="s">
        <v>845</v>
      </c>
      <c r="B398" s="5" t="s">
        <v>74</v>
      </c>
      <c r="C398" s="5" t="s">
        <v>49</v>
      </c>
      <c r="D398" s="25" t="str">
        <f t="shared" si="33"/>
        <v>Item _Unknown_ FUR</v>
      </c>
      <c r="E398" s="27">
        <f t="shared" si="32"/>
        <v>21.5</v>
      </c>
      <c r="F398" s="6">
        <v>10</v>
      </c>
      <c r="G398" s="6">
        <v>215</v>
      </c>
      <c r="H398" s="5" t="s">
        <v>51</v>
      </c>
      <c r="I398" s="5" t="s">
        <v>16</v>
      </c>
      <c r="J398" s="40">
        <v>44755</v>
      </c>
      <c r="K398" s="29" t="b">
        <f t="shared" si="34"/>
        <v>0</v>
      </c>
      <c r="L398" s="29" t="str">
        <f t="shared" si="36"/>
        <v>No Discount</v>
      </c>
      <c r="M398" s="18" t="str">
        <f t="shared" si="35"/>
        <v>Loss</v>
      </c>
    </row>
    <row r="399" spans="1:13" ht="30.75" thickBot="1" x14ac:dyDescent="0.3">
      <c r="A399" s="17" t="s">
        <v>847</v>
      </c>
      <c r="B399" s="11" t="s">
        <v>41</v>
      </c>
      <c r="C399" s="11" t="s">
        <v>158</v>
      </c>
      <c r="D399" s="25" t="str">
        <f t="shared" si="33"/>
        <v>Item _Unknown_ ELE</v>
      </c>
      <c r="E399" s="27">
        <f t="shared" si="32"/>
        <v>36.5</v>
      </c>
      <c r="F399" s="12">
        <v>9</v>
      </c>
      <c r="G399" s="12">
        <v>328.5</v>
      </c>
      <c r="H399" s="11" t="s">
        <v>51</v>
      </c>
      <c r="I399" s="11" t="s">
        <v>16</v>
      </c>
      <c r="J399" s="41">
        <v>44984</v>
      </c>
      <c r="K399" s="29" t="b">
        <f t="shared" si="34"/>
        <v>0</v>
      </c>
      <c r="L399" s="29" t="str">
        <f t="shared" si="36"/>
        <v>No Discount</v>
      </c>
      <c r="M399" s="18" t="str">
        <f t="shared" si="35"/>
        <v>High Profit</v>
      </c>
    </row>
    <row r="400" spans="1:13" ht="15.75" thickBot="1" x14ac:dyDescent="0.3">
      <c r="A400" s="16" t="s">
        <v>849</v>
      </c>
      <c r="B400" s="5" t="s">
        <v>127</v>
      </c>
      <c r="C400" s="5" t="s">
        <v>25</v>
      </c>
      <c r="D400" s="25" t="str">
        <f t="shared" si="33"/>
        <v>Item _Unknown_ BUT</v>
      </c>
      <c r="E400" s="27">
        <f t="shared" si="32"/>
        <v>36.5</v>
      </c>
      <c r="F400" s="6">
        <v>4</v>
      </c>
      <c r="G400" s="6">
        <v>146</v>
      </c>
      <c r="H400" s="5" t="s">
        <v>15</v>
      </c>
      <c r="I400" s="5" t="s">
        <v>39</v>
      </c>
      <c r="J400" s="40">
        <v>44748</v>
      </c>
      <c r="K400" s="29" t="b">
        <f t="shared" si="34"/>
        <v>0</v>
      </c>
      <c r="L400" s="29" t="str">
        <f t="shared" si="36"/>
        <v>No Discount</v>
      </c>
      <c r="M400" s="18" t="str">
        <f t="shared" si="35"/>
        <v>High Profit</v>
      </c>
    </row>
    <row r="401" spans="1:13" ht="15.75" thickBot="1" x14ac:dyDescent="0.3">
      <c r="A401" s="17" t="s">
        <v>850</v>
      </c>
      <c r="B401" s="11" t="s">
        <v>44</v>
      </c>
      <c r="C401" s="11" t="s">
        <v>30</v>
      </c>
      <c r="D401" s="25" t="str">
        <f t="shared" si="33"/>
        <v>Item _Unknown_ ELE</v>
      </c>
      <c r="E401" s="27">
        <f t="shared" si="32"/>
        <v>18.5</v>
      </c>
      <c r="F401" s="12">
        <v>6</v>
      </c>
      <c r="G401" s="12">
        <v>111</v>
      </c>
      <c r="H401" s="11" t="s">
        <v>51</v>
      </c>
      <c r="I401" s="11" t="s">
        <v>16</v>
      </c>
      <c r="J401" s="41">
        <v>45364</v>
      </c>
      <c r="K401" s="29" t="b">
        <f t="shared" si="34"/>
        <v>0</v>
      </c>
      <c r="L401" s="29" t="str">
        <f t="shared" si="36"/>
        <v>No Discount</v>
      </c>
      <c r="M401" s="18" t="str">
        <f t="shared" si="35"/>
        <v>Loss</v>
      </c>
    </row>
    <row r="402" spans="1:13" ht="15.75" thickBot="1" x14ac:dyDescent="0.3">
      <c r="A402" s="16" t="s">
        <v>852</v>
      </c>
      <c r="B402" s="5" t="s">
        <v>117</v>
      </c>
      <c r="C402" s="5" t="s">
        <v>20</v>
      </c>
      <c r="D402" s="25" t="str">
        <f t="shared" si="33"/>
        <v>Item _Unknown_ BUT</v>
      </c>
      <c r="E402" s="27">
        <f t="shared" si="32"/>
        <v>27.5</v>
      </c>
      <c r="F402" s="6">
        <v>8</v>
      </c>
      <c r="G402" s="6">
        <v>220</v>
      </c>
      <c r="H402" s="5" t="s">
        <v>15</v>
      </c>
      <c r="I402" s="5" t="s">
        <v>16</v>
      </c>
      <c r="J402" s="40">
        <v>45409</v>
      </c>
      <c r="K402" s="29" t="b">
        <f t="shared" si="34"/>
        <v>0</v>
      </c>
      <c r="L402" s="29" t="str">
        <f t="shared" si="36"/>
        <v>No Discount</v>
      </c>
      <c r="M402" s="18" t="str">
        <f t="shared" si="35"/>
        <v>Medium</v>
      </c>
    </row>
    <row r="403" spans="1:13" ht="15.75" thickBot="1" x14ac:dyDescent="0.3">
      <c r="A403" s="17" t="s">
        <v>853</v>
      </c>
      <c r="B403" s="11" t="s">
        <v>120</v>
      </c>
      <c r="C403" s="11" t="s">
        <v>49</v>
      </c>
      <c r="D403" s="25" t="str">
        <f t="shared" si="33"/>
        <v>Item _Unknown_ COM</v>
      </c>
      <c r="E403" s="27">
        <f t="shared" si="32"/>
        <v>14</v>
      </c>
      <c r="F403" s="12">
        <v>2</v>
      </c>
      <c r="G403" s="12">
        <v>28</v>
      </c>
      <c r="H403" s="11" t="s">
        <v>51</v>
      </c>
      <c r="I403" s="11" t="s">
        <v>39</v>
      </c>
      <c r="J403" s="41">
        <v>45325</v>
      </c>
      <c r="K403" s="29" t="b">
        <f t="shared" si="34"/>
        <v>0</v>
      </c>
      <c r="L403" s="29" t="str">
        <f t="shared" si="36"/>
        <v>No Discount</v>
      </c>
      <c r="M403" s="18" t="str">
        <f t="shared" si="35"/>
        <v>Loss</v>
      </c>
    </row>
    <row r="404" spans="1:13" ht="15.75" thickBot="1" x14ac:dyDescent="0.3">
      <c r="A404" s="16" t="s">
        <v>854</v>
      </c>
      <c r="B404" s="5" t="s">
        <v>60</v>
      </c>
      <c r="C404" s="5" t="s">
        <v>42</v>
      </c>
      <c r="D404" s="25" t="str">
        <f t="shared" si="33"/>
        <v>Item _Unknown_ BEV</v>
      </c>
      <c r="E404" s="27">
        <f t="shared" si="32"/>
        <v>6.5</v>
      </c>
      <c r="F404" s="6">
        <v>6</v>
      </c>
      <c r="G404" s="6">
        <v>39</v>
      </c>
      <c r="H404" s="5" t="s">
        <v>15</v>
      </c>
      <c r="I404" s="5" t="s">
        <v>16</v>
      </c>
      <c r="J404" s="40">
        <v>45602</v>
      </c>
      <c r="K404" s="29" t="b">
        <f t="shared" si="34"/>
        <v>0</v>
      </c>
      <c r="L404" s="29" t="str">
        <f t="shared" si="36"/>
        <v>No Discount</v>
      </c>
      <c r="M404" s="18" t="str">
        <f t="shared" si="35"/>
        <v>Loss</v>
      </c>
    </row>
    <row r="405" spans="1:13" ht="30.75" thickBot="1" x14ac:dyDescent="0.3">
      <c r="A405" s="17" t="s">
        <v>855</v>
      </c>
      <c r="B405" s="11" t="s">
        <v>127</v>
      </c>
      <c r="C405" s="11" t="s">
        <v>75</v>
      </c>
      <c r="D405" s="25" t="str">
        <f t="shared" si="33"/>
        <v>Item _Unknown_ FOO</v>
      </c>
      <c r="E405" s="27">
        <f t="shared" si="32"/>
        <v>21.5</v>
      </c>
      <c r="F405" s="12">
        <v>7</v>
      </c>
      <c r="G405" s="12">
        <v>150.5</v>
      </c>
      <c r="H405" s="11" t="s">
        <v>51</v>
      </c>
      <c r="I405" s="11" t="s">
        <v>39</v>
      </c>
      <c r="J405" s="41">
        <v>45365</v>
      </c>
      <c r="K405" s="29" t="b">
        <f t="shared" si="34"/>
        <v>0</v>
      </c>
      <c r="L405" s="29" t="str">
        <f t="shared" si="36"/>
        <v>No Discount</v>
      </c>
      <c r="M405" s="18" t="str">
        <f t="shared" si="35"/>
        <v>Loss</v>
      </c>
    </row>
    <row r="406" spans="1:13" ht="15.75" thickBot="1" x14ac:dyDescent="0.3">
      <c r="A406" s="16" t="s">
        <v>856</v>
      </c>
      <c r="B406" s="5" t="s">
        <v>90</v>
      </c>
      <c r="C406" s="5" t="s">
        <v>20</v>
      </c>
      <c r="D406" s="25" t="str">
        <f t="shared" si="33"/>
        <v>Item _Unknown_ MIL</v>
      </c>
      <c r="E406" s="27">
        <f t="shared" si="32"/>
        <v>38</v>
      </c>
      <c r="F406" s="6">
        <v>9</v>
      </c>
      <c r="G406" s="6">
        <v>342</v>
      </c>
      <c r="H406" s="5" t="s">
        <v>51</v>
      </c>
      <c r="I406" s="5" t="s">
        <v>16</v>
      </c>
      <c r="J406" s="40">
        <v>44818</v>
      </c>
      <c r="K406" s="29" t="b">
        <f t="shared" si="34"/>
        <v>0</v>
      </c>
      <c r="L406" s="29" t="str">
        <f t="shared" si="36"/>
        <v>No Discount</v>
      </c>
      <c r="M406" s="18" t="str">
        <f t="shared" si="35"/>
        <v>High Profit</v>
      </c>
    </row>
    <row r="407" spans="1:13" ht="30.75" thickBot="1" x14ac:dyDescent="0.3">
      <c r="A407" s="17" t="s">
        <v>857</v>
      </c>
      <c r="B407" s="11" t="s">
        <v>99</v>
      </c>
      <c r="C407" s="11" t="s">
        <v>158</v>
      </c>
      <c r="D407" s="25" t="str">
        <f t="shared" si="33"/>
        <v>Item _Unknown_ BUT</v>
      </c>
      <c r="E407" s="27">
        <f t="shared" si="32"/>
        <v>11</v>
      </c>
      <c r="F407" s="12">
        <v>3</v>
      </c>
      <c r="G407" s="12">
        <v>33</v>
      </c>
      <c r="H407" s="11" t="s">
        <v>15</v>
      </c>
      <c r="I407" s="11" t="s">
        <v>16</v>
      </c>
      <c r="J407" s="41">
        <v>45372</v>
      </c>
      <c r="K407" s="29" t="b">
        <f t="shared" si="34"/>
        <v>0</v>
      </c>
      <c r="L407" s="29" t="str">
        <f t="shared" si="36"/>
        <v>No Discount</v>
      </c>
      <c r="M407" s="18" t="str">
        <f t="shared" si="35"/>
        <v>Loss</v>
      </c>
    </row>
    <row r="408" spans="1:13" ht="15.75" thickBot="1" x14ac:dyDescent="0.3">
      <c r="A408" s="16" t="s">
        <v>858</v>
      </c>
      <c r="B408" s="5" t="s">
        <v>71</v>
      </c>
      <c r="C408" s="5" t="s">
        <v>13</v>
      </c>
      <c r="D408" s="25" t="str">
        <f t="shared" si="33"/>
        <v>Item _Unknown_ FUR</v>
      </c>
      <c r="E408" s="27">
        <f t="shared" si="32"/>
        <v>24.5</v>
      </c>
      <c r="F408" s="6">
        <v>6</v>
      </c>
      <c r="G408" s="6">
        <v>147</v>
      </c>
      <c r="H408" s="5" t="s">
        <v>51</v>
      </c>
      <c r="I408" s="5" t="s">
        <v>39</v>
      </c>
      <c r="J408" s="40">
        <v>45663</v>
      </c>
      <c r="K408" s="29" t="b">
        <f t="shared" si="34"/>
        <v>0</v>
      </c>
      <c r="L408" s="29" t="str">
        <f t="shared" si="36"/>
        <v>No Discount</v>
      </c>
      <c r="M408" s="18" t="str">
        <f t="shared" si="35"/>
        <v>Loss</v>
      </c>
    </row>
    <row r="409" spans="1:13" ht="30.75" thickBot="1" x14ac:dyDescent="0.3">
      <c r="A409" s="17" t="s">
        <v>859</v>
      </c>
      <c r="B409" s="11" t="s">
        <v>74</v>
      </c>
      <c r="C409" s="11" t="s">
        <v>158</v>
      </c>
      <c r="D409" s="25" t="str">
        <f t="shared" si="33"/>
        <v>Item _Unknown_ ELE</v>
      </c>
      <c r="E409" s="27">
        <f t="shared" si="32"/>
        <v>21.5</v>
      </c>
      <c r="F409" s="12">
        <v>3</v>
      </c>
      <c r="G409" s="12">
        <v>64.5</v>
      </c>
      <c r="H409" s="11" t="s">
        <v>51</v>
      </c>
      <c r="I409" s="11" t="s">
        <v>16</v>
      </c>
      <c r="J409" s="41">
        <v>45274</v>
      </c>
      <c r="K409" s="29" t="b">
        <f t="shared" si="34"/>
        <v>0</v>
      </c>
      <c r="L409" s="29" t="str">
        <f t="shared" si="36"/>
        <v>No Discount</v>
      </c>
      <c r="M409" s="18" t="str">
        <f t="shared" si="35"/>
        <v>Loss</v>
      </c>
    </row>
    <row r="410" spans="1:13" ht="15.75" thickBot="1" x14ac:dyDescent="0.3">
      <c r="A410" s="17" t="s">
        <v>862</v>
      </c>
      <c r="B410" s="11" t="s">
        <v>29</v>
      </c>
      <c r="C410" s="11" t="s">
        <v>49</v>
      </c>
      <c r="D410" s="25" t="str">
        <f>"Item _Unknown_ "&amp;UPPER(LEFT(C407,3))</f>
        <v>Item _Unknown_ COM</v>
      </c>
      <c r="E410" s="27">
        <f t="shared" si="32"/>
        <v>41</v>
      </c>
      <c r="F410" s="12">
        <v>5</v>
      </c>
      <c r="G410" s="12">
        <v>205</v>
      </c>
      <c r="H410" s="11" t="s">
        <v>51</v>
      </c>
      <c r="I410" s="11" t="s">
        <v>16</v>
      </c>
      <c r="J410" s="41">
        <v>44711</v>
      </c>
      <c r="K410" s="29" t="b">
        <f t="shared" si="34"/>
        <v>0</v>
      </c>
      <c r="L410" s="29" t="str">
        <f t="shared" si="36"/>
        <v>No Discount</v>
      </c>
      <c r="M410" s="18" t="str">
        <f t="shared" si="35"/>
        <v>High Profit</v>
      </c>
    </row>
    <row r="411" spans="1:13" ht="15.75" thickBot="1" x14ac:dyDescent="0.3">
      <c r="A411" s="16" t="s">
        <v>863</v>
      </c>
      <c r="B411" s="5" t="s">
        <v>19</v>
      </c>
      <c r="C411" s="5" t="s">
        <v>42</v>
      </c>
      <c r="D411" s="25" t="str">
        <f>"Item _Unknown_ "&amp;UPPER(LEFT(C408,3))</f>
        <v>Item _Unknown_ PAT</v>
      </c>
      <c r="E411" s="27">
        <f t="shared" si="32"/>
        <v>6.5</v>
      </c>
      <c r="F411" s="6">
        <v>5</v>
      </c>
      <c r="G411" s="6">
        <v>32.5</v>
      </c>
      <c r="H411" s="5" t="s">
        <v>51</v>
      </c>
      <c r="I411" s="5" t="s">
        <v>39</v>
      </c>
      <c r="J411" s="40">
        <v>44737</v>
      </c>
      <c r="K411" s="29" t="b">
        <f t="shared" si="34"/>
        <v>0</v>
      </c>
      <c r="L411" s="29" t="str">
        <f t="shared" si="36"/>
        <v>No Discount</v>
      </c>
      <c r="M411" s="18" t="str">
        <f t="shared" si="35"/>
        <v>Loss</v>
      </c>
    </row>
    <row r="412" spans="1:13" ht="30.75" thickBot="1" x14ac:dyDescent="0.3">
      <c r="A412" s="17" t="s">
        <v>865</v>
      </c>
      <c r="B412" s="11" t="s">
        <v>106</v>
      </c>
      <c r="C412" s="11" t="s">
        <v>75</v>
      </c>
      <c r="D412" s="25" t="str">
        <f>"Item _Unknown_ "&amp;UPPER(LEFT(C409,3))</f>
        <v>Item _Unknown_ COM</v>
      </c>
      <c r="E412" s="27">
        <f t="shared" si="32"/>
        <v>26</v>
      </c>
      <c r="F412" s="12">
        <v>7</v>
      </c>
      <c r="G412" s="12">
        <v>182</v>
      </c>
      <c r="H412" s="11" t="s">
        <v>15</v>
      </c>
      <c r="I412" s="11" t="s">
        <v>39</v>
      </c>
      <c r="J412" s="41">
        <v>44699</v>
      </c>
      <c r="K412" s="29" t="b">
        <f t="shared" si="34"/>
        <v>0</v>
      </c>
      <c r="L412" s="29" t="str">
        <f t="shared" si="36"/>
        <v>No Discount</v>
      </c>
      <c r="M412" s="18" t="str">
        <f t="shared" si="35"/>
        <v>Medium</v>
      </c>
    </row>
    <row r="413" spans="1:13" ht="30.75" thickBot="1" x14ac:dyDescent="0.3">
      <c r="A413" s="16" t="s">
        <v>868</v>
      </c>
      <c r="B413" s="5" t="s">
        <v>41</v>
      </c>
      <c r="C413" s="5" t="s">
        <v>75</v>
      </c>
      <c r="D413" s="25" t="str">
        <f>"Item _Unknown_ "&amp;UPPER(LEFT(C404,3))</f>
        <v>Item _Unknown_ FUR</v>
      </c>
      <c r="E413" s="27">
        <f t="shared" si="32"/>
        <v>15.5</v>
      </c>
      <c r="F413" s="6">
        <v>6</v>
      </c>
      <c r="G413" s="6">
        <v>93</v>
      </c>
      <c r="H413" s="5" t="s">
        <v>27</v>
      </c>
      <c r="I413" s="5" t="s">
        <v>16</v>
      </c>
      <c r="J413" s="40">
        <v>44803</v>
      </c>
      <c r="K413" s="29" t="b">
        <f t="shared" si="34"/>
        <v>0</v>
      </c>
      <c r="L413" s="29" t="str">
        <f t="shared" si="36"/>
        <v>No Discount</v>
      </c>
      <c r="M413" s="18" t="str">
        <f t="shared" si="35"/>
        <v>Loss</v>
      </c>
    </row>
    <row r="414" spans="1:13" ht="30.75" thickBot="1" x14ac:dyDescent="0.3">
      <c r="A414" s="17" t="s">
        <v>870</v>
      </c>
      <c r="B414" s="11" t="s">
        <v>78</v>
      </c>
      <c r="C414" s="11" t="s">
        <v>158</v>
      </c>
      <c r="D414" s="25" t="str">
        <f t="shared" si="33"/>
        <v>Item _Unknown_ BUT</v>
      </c>
      <c r="E414" s="27">
        <f t="shared" si="32"/>
        <v>26</v>
      </c>
      <c r="F414" s="12">
        <v>1</v>
      </c>
      <c r="G414" s="12">
        <v>26</v>
      </c>
      <c r="H414" s="11" t="s">
        <v>15</v>
      </c>
      <c r="I414" s="11" t="s">
        <v>16</v>
      </c>
      <c r="J414" s="41">
        <v>45435</v>
      </c>
      <c r="K414" s="29" t="b">
        <f t="shared" si="34"/>
        <v>0</v>
      </c>
      <c r="L414" s="29" t="str">
        <f t="shared" si="36"/>
        <v>No Discount</v>
      </c>
      <c r="M414" s="18" t="str">
        <f t="shared" si="35"/>
        <v>Medium</v>
      </c>
    </row>
    <row r="415" spans="1:13" ht="15.75" thickBot="1" x14ac:dyDescent="0.3">
      <c r="A415" s="16" t="s">
        <v>871</v>
      </c>
      <c r="B415" s="5" t="s">
        <v>48</v>
      </c>
      <c r="C415" s="5" t="s">
        <v>13</v>
      </c>
      <c r="D415" s="25" t="str">
        <f t="shared" si="33"/>
        <v>Item _Unknown_ FUR</v>
      </c>
      <c r="E415" s="27">
        <f t="shared" si="32"/>
        <v>17</v>
      </c>
      <c r="F415" s="6">
        <v>6</v>
      </c>
      <c r="G415" s="6">
        <v>102</v>
      </c>
      <c r="H415" s="5" t="s">
        <v>51</v>
      </c>
      <c r="I415" s="5" t="s">
        <v>39</v>
      </c>
      <c r="J415" s="40">
        <v>45511</v>
      </c>
      <c r="K415" s="29" t="b">
        <f t="shared" si="34"/>
        <v>0</v>
      </c>
      <c r="L415" s="29" t="str">
        <f t="shared" si="36"/>
        <v>No Discount</v>
      </c>
      <c r="M415" s="18" t="str">
        <f t="shared" si="35"/>
        <v>Loss</v>
      </c>
    </row>
    <row r="416" spans="1:13" ht="15.75" thickBot="1" x14ac:dyDescent="0.3">
      <c r="A416" s="17" t="s">
        <v>872</v>
      </c>
      <c r="B416" s="11" t="s">
        <v>120</v>
      </c>
      <c r="C416" s="11" t="s">
        <v>49</v>
      </c>
      <c r="D416" s="25" t="str">
        <f t="shared" si="33"/>
        <v>Item _Unknown_ ELE</v>
      </c>
      <c r="E416" s="27">
        <f t="shared" si="32"/>
        <v>35</v>
      </c>
      <c r="F416" s="12">
        <v>1</v>
      </c>
      <c r="G416" s="12">
        <v>35</v>
      </c>
      <c r="H416" s="11" t="s">
        <v>15</v>
      </c>
      <c r="I416" s="11" t="s">
        <v>39</v>
      </c>
      <c r="J416" s="41">
        <v>45274</v>
      </c>
      <c r="K416" s="29" t="b">
        <f t="shared" si="34"/>
        <v>0</v>
      </c>
      <c r="L416" s="29" t="str">
        <f t="shared" si="36"/>
        <v>No Discount</v>
      </c>
      <c r="M416" s="18" t="str">
        <f t="shared" si="35"/>
        <v>High Profit</v>
      </c>
    </row>
    <row r="417" spans="1:13" ht="15.75" thickBot="1" x14ac:dyDescent="0.3">
      <c r="A417" s="16" t="s">
        <v>873</v>
      </c>
      <c r="B417" s="5" t="s">
        <v>136</v>
      </c>
      <c r="C417" s="5" t="s">
        <v>30</v>
      </c>
      <c r="D417" s="25" t="str">
        <f t="shared" si="33"/>
        <v>Item _Unknown_ ELE</v>
      </c>
      <c r="E417" s="27">
        <f t="shared" si="32"/>
        <v>23</v>
      </c>
      <c r="F417" s="6">
        <v>2</v>
      </c>
      <c r="G417" s="6">
        <v>46</v>
      </c>
      <c r="H417" s="5" t="s">
        <v>15</v>
      </c>
      <c r="I417" s="5" t="s">
        <v>16</v>
      </c>
      <c r="J417" s="40">
        <v>45279</v>
      </c>
      <c r="K417" s="29" t="b">
        <f t="shared" si="34"/>
        <v>0</v>
      </c>
      <c r="L417" s="29" t="str">
        <f t="shared" si="36"/>
        <v>No Discount</v>
      </c>
      <c r="M417" s="18" t="str">
        <f t="shared" si="35"/>
        <v>Loss</v>
      </c>
    </row>
    <row r="418" spans="1:13" ht="15.75" thickBot="1" x14ac:dyDescent="0.3">
      <c r="A418" s="17" t="s">
        <v>874</v>
      </c>
      <c r="B418" s="11" t="s">
        <v>99</v>
      </c>
      <c r="C418" s="11" t="s">
        <v>30</v>
      </c>
      <c r="D418" s="25" t="str">
        <f t="shared" si="33"/>
        <v>Item _Unknown_ COM</v>
      </c>
      <c r="E418" s="27">
        <f t="shared" si="32"/>
        <v>17</v>
      </c>
      <c r="F418" s="12">
        <v>4</v>
      </c>
      <c r="G418" s="12">
        <v>68</v>
      </c>
      <c r="H418" s="11" t="s">
        <v>51</v>
      </c>
      <c r="I418" s="11" t="s">
        <v>39</v>
      </c>
      <c r="J418" s="41">
        <v>44955</v>
      </c>
      <c r="K418" s="29" t="b">
        <f t="shared" si="34"/>
        <v>0</v>
      </c>
      <c r="L418" s="29" t="str">
        <f t="shared" si="36"/>
        <v>No Discount</v>
      </c>
      <c r="M418" s="18" t="str">
        <f t="shared" si="35"/>
        <v>Loss</v>
      </c>
    </row>
    <row r="419" spans="1:13" ht="15.75" thickBot="1" x14ac:dyDescent="0.3">
      <c r="A419" s="16" t="s">
        <v>876</v>
      </c>
      <c r="B419" s="5" t="s">
        <v>29</v>
      </c>
      <c r="C419" s="5" t="s">
        <v>42</v>
      </c>
      <c r="D419" s="25" t="str">
        <f t="shared" si="33"/>
        <v>Item _Unknown_ PAT</v>
      </c>
      <c r="E419" s="27">
        <f t="shared" si="32"/>
        <v>24.5</v>
      </c>
      <c r="F419" s="6">
        <v>4</v>
      </c>
      <c r="G419" s="6">
        <v>98</v>
      </c>
      <c r="H419" s="5" t="s">
        <v>27</v>
      </c>
      <c r="I419" s="5" t="s">
        <v>39</v>
      </c>
      <c r="J419" s="40">
        <v>44860</v>
      </c>
      <c r="K419" s="29" t="b">
        <f t="shared" si="34"/>
        <v>0</v>
      </c>
      <c r="L419" s="29" t="str">
        <f t="shared" si="36"/>
        <v>No Discount</v>
      </c>
      <c r="M419" s="18" t="str">
        <f t="shared" si="35"/>
        <v>Loss</v>
      </c>
    </row>
    <row r="420" spans="1:13" ht="30.75" thickBot="1" x14ac:dyDescent="0.3">
      <c r="A420" s="17" t="s">
        <v>878</v>
      </c>
      <c r="B420" s="11" t="s">
        <v>136</v>
      </c>
      <c r="C420" s="11" t="s">
        <v>158</v>
      </c>
      <c r="D420" s="25" t="str">
        <f t="shared" si="33"/>
        <v>Item _Unknown_ BUT</v>
      </c>
      <c r="E420" s="27">
        <f t="shared" si="32"/>
        <v>27.5</v>
      </c>
      <c r="F420" s="12">
        <v>9</v>
      </c>
      <c r="G420" s="12">
        <v>247.5</v>
      </c>
      <c r="H420" s="11" t="s">
        <v>51</v>
      </c>
      <c r="I420" s="11" t="s">
        <v>16</v>
      </c>
      <c r="J420" s="41">
        <v>44939</v>
      </c>
      <c r="K420" s="29" t="b">
        <f t="shared" si="34"/>
        <v>0</v>
      </c>
      <c r="L420" s="29" t="str">
        <f t="shared" si="36"/>
        <v>No Discount</v>
      </c>
      <c r="M420" s="18" t="str">
        <f t="shared" si="35"/>
        <v>Medium</v>
      </c>
    </row>
    <row r="421" spans="1:13" ht="15.75" thickBot="1" x14ac:dyDescent="0.3">
      <c r="A421" s="16" t="s">
        <v>879</v>
      </c>
      <c r="B421" s="5" t="s">
        <v>29</v>
      </c>
      <c r="C421" s="5" t="s">
        <v>13</v>
      </c>
      <c r="D421" s="25" t="str">
        <f t="shared" si="33"/>
        <v>Item _Unknown_ FOO</v>
      </c>
      <c r="E421" s="27">
        <f t="shared" si="32"/>
        <v>9.5</v>
      </c>
      <c r="F421" s="6">
        <v>2</v>
      </c>
      <c r="G421" s="6">
        <v>19</v>
      </c>
      <c r="H421" s="5" t="s">
        <v>15</v>
      </c>
      <c r="I421" s="5" t="s">
        <v>39</v>
      </c>
      <c r="J421" s="40">
        <v>45112</v>
      </c>
      <c r="K421" s="29" t="b">
        <f t="shared" si="34"/>
        <v>0</v>
      </c>
      <c r="L421" s="29" t="str">
        <f t="shared" si="36"/>
        <v>No Discount</v>
      </c>
      <c r="M421" s="18" t="str">
        <f t="shared" si="35"/>
        <v>Loss</v>
      </c>
    </row>
    <row r="422" spans="1:13" ht="15.75" thickBot="1" x14ac:dyDescent="0.3">
      <c r="A422" s="17" t="s">
        <v>880</v>
      </c>
      <c r="B422" s="11" t="s">
        <v>140</v>
      </c>
      <c r="C422" s="11" t="s">
        <v>13</v>
      </c>
      <c r="D422" s="25" t="str">
        <f t="shared" si="33"/>
        <v>Item _Unknown_ FOO</v>
      </c>
      <c r="E422" s="27">
        <f t="shared" si="32"/>
        <v>9.5</v>
      </c>
      <c r="F422" s="12">
        <v>2</v>
      </c>
      <c r="G422" s="12">
        <v>19</v>
      </c>
      <c r="H422" s="11" t="s">
        <v>15</v>
      </c>
      <c r="I422" s="11" t="s">
        <v>16</v>
      </c>
      <c r="J422" s="41">
        <v>44934</v>
      </c>
      <c r="K422" s="29" t="b">
        <f t="shared" si="34"/>
        <v>0</v>
      </c>
      <c r="L422" s="29" t="str">
        <f t="shared" si="36"/>
        <v>No Discount</v>
      </c>
      <c r="M422" s="18" t="str">
        <f t="shared" si="35"/>
        <v>Loss</v>
      </c>
    </row>
    <row r="423" spans="1:13" ht="15.75" thickBot="1" x14ac:dyDescent="0.3">
      <c r="A423" s="16" t="s">
        <v>881</v>
      </c>
      <c r="B423" s="5" t="s">
        <v>24</v>
      </c>
      <c r="C423" s="5" t="s">
        <v>49</v>
      </c>
      <c r="D423" s="25" t="str">
        <f t="shared" si="33"/>
        <v>Item _Unknown_ FUR</v>
      </c>
      <c r="E423" s="27">
        <f t="shared" si="32"/>
        <v>33.5</v>
      </c>
      <c r="F423" s="6">
        <v>2</v>
      </c>
      <c r="G423" s="6">
        <v>67</v>
      </c>
      <c r="H423" s="5" t="s">
        <v>27</v>
      </c>
      <c r="I423" s="5" t="s">
        <v>39</v>
      </c>
      <c r="J423" s="40">
        <v>45378</v>
      </c>
      <c r="K423" s="29" t="b">
        <f t="shared" si="34"/>
        <v>0</v>
      </c>
      <c r="L423" s="29" t="str">
        <f t="shared" si="36"/>
        <v>No Discount</v>
      </c>
      <c r="M423" s="18" t="str">
        <f t="shared" si="35"/>
        <v>Medium</v>
      </c>
    </row>
    <row r="424" spans="1:13" ht="15.75" thickBot="1" x14ac:dyDescent="0.3">
      <c r="A424" s="17" t="s">
        <v>882</v>
      </c>
      <c r="B424" s="11" t="s">
        <v>78</v>
      </c>
      <c r="C424" s="11" t="s">
        <v>13</v>
      </c>
      <c r="D424" s="25" t="str">
        <f t="shared" si="33"/>
        <v>Item _Unknown_ COM</v>
      </c>
      <c r="E424" s="27">
        <f t="shared" si="32"/>
        <v>11</v>
      </c>
      <c r="F424" s="12">
        <v>10</v>
      </c>
      <c r="G424" s="12">
        <v>110</v>
      </c>
      <c r="H424" s="11" t="s">
        <v>51</v>
      </c>
      <c r="I424" s="11" t="s">
        <v>39</v>
      </c>
      <c r="J424" s="41">
        <v>45590</v>
      </c>
      <c r="K424" s="29" t="b">
        <f t="shared" si="34"/>
        <v>0</v>
      </c>
      <c r="L424" s="29" t="str">
        <f t="shared" si="36"/>
        <v>No Discount</v>
      </c>
      <c r="M424" s="18" t="str">
        <f t="shared" si="35"/>
        <v>Loss</v>
      </c>
    </row>
    <row r="425" spans="1:13" ht="15.75" thickBot="1" x14ac:dyDescent="0.3">
      <c r="A425" s="17" t="s">
        <v>886</v>
      </c>
      <c r="B425" s="11" t="s">
        <v>78</v>
      </c>
      <c r="C425" s="11" t="s">
        <v>13</v>
      </c>
      <c r="D425" s="25" t="str">
        <f>"Item _Unknown_ "&amp;UPPER(LEFT(C422,3))</f>
        <v>Item _Unknown_ PAT</v>
      </c>
      <c r="E425" s="27">
        <f t="shared" si="32"/>
        <v>29</v>
      </c>
      <c r="F425" s="12">
        <v>10</v>
      </c>
      <c r="G425" s="12">
        <v>290</v>
      </c>
      <c r="H425" s="11" t="s">
        <v>15</v>
      </c>
      <c r="I425" s="11" t="s">
        <v>16</v>
      </c>
      <c r="J425" s="41">
        <v>45545</v>
      </c>
      <c r="K425" s="29" t="b">
        <f t="shared" si="34"/>
        <v>0</v>
      </c>
      <c r="L425" s="29" t="str">
        <f t="shared" si="36"/>
        <v>No Discount</v>
      </c>
      <c r="M425" s="18" t="str">
        <f t="shared" si="35"/>
        <v>Medium</v>
      </c>
    </row>
    <row r="426" spans="1:13" ht="15.75" thickBot="1" x14ac:dyDescent="0.3">
      <c r="A426" s="16" t="s">
        <v>887</v>
      </c>
      <c r="B426" s="5" t="s">
        <v>94</v>
      </c>
      <c r="C426" s="5" t="s">
        <v>30</v>
      </c>
      <c r="D426" s="25" t="str">
        <f>"Item _Unknown_ "&amp;UPPER(LEFT(C423,3))</f>
        <v>Item _Unknown_ BUT</v>
      </c>
      <c r="E426" s="27">
        <f t="shared" ref="E426:E487" si="37">G426/F426</f>
        <v>20</v>
      </c>
      <c r="F426" s="6">
        <v>6</v>
      </c>
      <c r="G426" s="6">
        <v>120</v>
      </c>
      <c r="H426" s="5" t="s">
        <v>15</v>
      </c>
      <c r="I426" s="5" t="s">
        <v>16</v>
      </c>
      <c r="J426" s="40">
        <v>45516</v>
      </c>
      <c r="K426" s="29" t="b">
        <f t="shared" si="34"/>
        <v>0</v>
      </c>
      <c r="L426" s="29" t="str">
        <f t="shared" si="36"/>
        <v>No Discount</v>
      </c>
      <c r="M426" s="18" t="str">
        <f t="shared" si="35"/>
        <v>Loss</v>
      </c>
    </row>
    <row r="427" spans="1:13" ht="15.75" thickBot="1" x14ac:dyDescent="0.3">
      <c r="A427" s="17" t="s">
        <v>888</v>
      </c>
      <c r="B427" s="11" t="s">
        <v>106</v>
      </c>
      <c r="C427" s="11" t="s">
        <v>25</v>
      </c>
      <c r="D427" s="25" t="str">
        <f>"Item _Unknown_ "&amp;UPPER(LEFT(C424,3))</f>
        <v>Item _Unknown_ PAT</v>
      </c>
      <c r="E427" s="27">
        <f t="shared" si="37"/>
        <v>15.5</v>
      </c>
      <c r="F427" s="12">
        <v>5</v>
      </c>
      <c r="G427" s="12">
        <v>77.5</v>
      </c>
      <c r="H427" s="11" t="s">
        <v>51</v>
      </c>
      <c r="I427" s="11" t="s">
        <v>16</v>
      </c>
      <c r="J427" s="41">
        <v>44655</v>
      </c>
      <c r="K427" s="29" t="b">
        <f t="shared" si="34"/>
        <v>0</v>
      </c>
      <c r="L427" s="29" t="str">
        <f t="shared" si="36"/>
        <v>No Discount</v>
      </c>
      <c r="M427" s="18" t="str">
        <f t="shared" si="35"/>
        <v>Loss</v>
      </c>
    </row>
    <row r="428" spans="1:13" ht="15.75" thickBot="1" x14ac:dyDescent="0.3">
      <c r="A428" s="16" t="s">
        <v>889</v>
      </c>
      <c r="B428" s="5" t="s">
        <v>106</v>
      </c>
      <c r="C428" s="5" t="s">
        <v>20</v>
      </c>
      <c r="D428" s="25" t="str">
        <f>"Item _Unknown_ "&amp;UPPER(LEFT(C419,3))</f>
        <v>Item _Unknown_ FUR</v>
      </c>
      <c r="E428" s="27">
        <f t="shared" si="37"/>
        <v>30.5</v>
      </c>
      <c r="F428" s="6">
        <v>2</v>
      </c>
      <c r="G428" s="6">
        <v>61</v>
      </c>
      <c r="H428" s="5" t="s">
        <v>51</v>
      </c>
      <c r="I428" s="5" t="s">
        <v>16</v>
      </c>
      <c r="J428" s="40">
        <v>45219</v>
      </c>
      <c r="K428" s="29" t="b">
        <f t="shared" si="34"/>
        <v>0</v>
      </c>
      <c r="L428" s="29" t="str">
        <f t="shared" si="36"/>
        <v>No Discount</v>
      </c>
      <c r="M428" s="18" t="str">
        <f t="shared" si="35"/>
        <v>Medium</v>
      </c>
    </row>
    <row r="429" spans="1:13" ht="15.75" thickBot="1" x14ac:dyDescent="0.3">
      <c r="A429" s="17" t="s">
        <v>892</v>
      </c>
      <c r="B429" s="11" t="s">
        <v>60</v>
      </c>
      <c r="C429" s="11" t="s">
        <v>49</v>
      </c>
      <c r="D429" s="25" t="str">
        <f t="shared" ref="D429:D489" si="38">"Item _Unknown_ "&amp;UPPER(LEFT(C425,3))</f>
        <v>Item _Unknown_ PAT</v>
      </c>
      <c r="E429" s="27">
        <f t="shared" si="37"/>
        <v>11</v>
      </c>
      <c r="F429" s="12">
        <v>7</v>
      </c>
      <c r="G429" s="12">
        <v>77</v>
      </c>
      <c r="H429" s="11" t="s">
        <v>51</v>
      </c>
      <c r="I429" s="11" t="s">
        <v>39</v>
      </c>
      <c r="J429" s="41">
        <v>45324</v>
      </c>
      <c r="K429" s="29" t="b">
        <f t="shared" si="34"/>
        <v>0</v>
      </c>
      <c r="L429" s="29" t="str">
        <f t="shared" si="36"/>
        <v>No Discount</v>
      </c>
      <c r="M429" s="18" t="str">
        <f t="shared" si="35"/>
        <v>Loss</v>
      </c>
    </row>
    <row r="430" spans="1:13" ht="15.75" thickBot="1" x14ac:dyDescent="0.3">
      <c r="A430" s="16" t="s">
        <v>893</v>
      </c>
      <c r="B430" s="5" t="s">
        <v>12</v>
      </c>
      <c r="C430" s="5" t="s">
        <v>42</v>
      </c>
      <c r="D430" s="25" t="str">
        <f t="shared" si="38"/>
        <v>Item _Unknown_ FOO</v>
      </c>
      <c r="E430" s="27">
        <f t="shared" si="37"/>
        <v>41</v>
      </c>
      <c r="F430" s="6">
        <v>3</v>
      </c>
      <c r="G430" s="6">
        <v>123</v>
      </c>
      <c r="H430" s="5" t="s">
        <v>27</v>
      </c>
      <c r="I430" s="5" t="s">
        <v>16</v>
      </c>
      <c r="J430" s="40">
        <v>45467</v>
      </c>
      <c r="K430" s="29" t="b">
        <f t="shared" si="34"/>
        <v>0</v>
      </c>
      <c r="L430" s="29" t="str">
        <f t="shared" si="36"/>
        <v>No Discount</v>
      </c>
      <c r="M430" s="18" t="str">
        <f t="shared" si="35"/>
        <v>High Profit</v>
      </c>
    </row>
    <row r="431" spans="1:13" ht="30.75" thickBot="1" x14ac:dyDescent="0.3">
      <c r="A431" s="17" t="s">
        <v>894</v>
      </c>
      <c r="B431" s="11" t="s">
        <v>206</v>
      </c>
      <c r="C431" s="11" t="s">
        <v>158</v>
      </c>
      <c r="D431" s="25" t="str">
        <f t="shared" si="38"/>
        <v>Item _Unknown_ BEV</v>
      </c>
      <c r="E431" s="27">
        <f t="shared" si="37"/>
        <v>20</v>
      </c>
      <c r="F431" s="12">
        <v>7</v>
      </c>
      <c r="G431" s="12">
        <v>140</v>
      </c>
      <c r="H431" s="11" t="s">
        <v>51</v>
      </c>
      <c r="I431" s="11" t="s">
        <v>39</v>
      </c>
      <c r="J431" s="41">
        <v>45235</v>
      </c>
      <c r="K431" s="29" t="b">
        <f t="shared" si="34"/>
        <v>0</v>
      </c>
      <c r="L431" s="29" t="str">
        <f t="shared" si="36"/>
        <v>No Discount</v>
      </c>
      <c r="M431" s="18" t="str">
        <f t="shared" si="35"/>
        <v>Loss</v>
      </c>
    </row>
    <row r="432" spans="1:13" ht="15.75" thickBot="1" x14ac:dyDescent="0.3">
      <c r="A432" s="16" t="s">
        <v>895</v>
      </c>
      <c r="B432" s="5" t="s">
        <v>19</v>
      </c>
      <c r="C432" s="5" t="s">
        <v>13</v>
      </c>
      <c r="D432" s="25" t="str">
        <f t="shared" si="38"/>
        <v>Item _Unknown_ MIL</v>
      </c>
      <c r="E432" s="27">
        <f t="shared" si="37"/>
        <v>5</v>
      </c>
      <c r="F432" s="6">
        <v>7</v>
      </c>
      <c r="G432" s="6">
        <v>35</v>
      </c>
      <c r="H432" s="5" t="s">
        <v>15</v>
      </c>
      <c r="I432" s="5" t="s">
        <v>16</v>
      </c>
      <c r="J432" s="40">
        <v>45478</v>
      </c>
      <c r="K432" s="29" t="b">
        <f t="shared" si="34"/>
        <v>0</v>
      </c>
      <c r="L432" s="29" t="str">
        <f t="shared" si="36"/>
        <v>No Discount</v>
      </c>
      <c r="M432" s="18" t="str">
        <f t="shared" si="35"/>
        <v>Loss</v>
      </c>
    </row>
    <row r="433" spans="1:13" ht="15.75" thickBot="1" x14ac:dyDescent="0.3">
      <c r="A433" s="17" t="s">
        <v>896</v>
      </c>
      <c r="B433" s="11" t="s">
        <v>78</v>
      </c>
      <c r="C433" s="11" t="s">
        <v>30</v>
      </c>
      <c r="D433" s="25" t="str">
        <f t="shared" si="38"/>
        <v>Item _Unknown_ BUT</v>
      </c>
      <c r="E433" s="27">
        <f t="shared" si="37"/>
        <v>21.5</v>
      </c>
      <c r="F433" s="12">
        <v>9</v>
      </c>
      <c r="G433" s="12">
        <v>193.5</v>
      </c>
      <c r="H433" s="11" t="s">
        <v>27</v>
      </c>
      <c r="I433" s="11" t="s">
        <v>39</v>
      </c>
      <c r="J433" s="41">
        <v>45369</v>
      </c>
      <c r="K433" s="29" t="b">
        <f t="shared" si="34"/>
        <v>0</v>
      </c>
      <c r="L433" s="29" t="str">
        <f t="shared" si="36"/>
        <v>No Discount</v>
      </c>
      <c r="M433" s="18" t="str">
        <f t="shared" si="35"/>
        <v>Loss</v>
      </c>
    </row>
    <row r="434" spans="1:13" ht="15.75" thickBot="1" x14ac:dyDescent="0.3">
      <c r="A434" s="16" t="s">
        <v>897</v>
      </c>
      <c r="B434" s="5" t="s">
        <v>48</v>
      </c>
      <c r="C434" s="5" t="s">
        <v>30</v>
      </c>
      <c r="D434" s="25" t="str">
        <f t="shared" si="38"/>
        <v>Item _Unknown_ FUR</v>
      </c>
      <c r="E434" s="27">
        <f t="shared" si="37"/>
        <v>18.5</v>
      </c>
      <c r="F434" s="6">
        <v>8</v>
      </c>
      <c r="G434" s="6">
        <v>148</v>
      </c>
      <c r="H434" s="5" t="s">
        <v>27</v>
      </c>
      <c r="I434" s="5" t="s">
        <v>39</v>
      </c>
      <c r="J434" s="40">
        <v>44727</v>
      </c>
      <c r="K434" s="29" t="b">
        <f t="shared" si="34"/>
        <v>0</v>
      </c>
      <c r="L434" s="29" t="str">
        <f t="shared" si="36"/>
        <v>No Discount</v>
      </c>
      <c r="M434" s="18" t="str">
        <f t="shared" si="35"/>
        <v>Loss</v>
      </c>
    </row>
    <row r="435" spans="1:13" ht="15.75" thickBot="1" x14ac:dyDescent="0.3">
      <c r="A435" s="17" t="s">
        <v>898</v>
      </c>
      <c r="B435" s="11" t="s">
        <v>149</v>
      </c>
      <c r="C435" s="11" t="s">
        <v>25</v>
      </c>
      <c r="D435" s="25" t="str">
        <f t="shared" si="38"/>
        <v>Item _Unknown_ COM</v>
      </c>
      <c r="E435" s="27">
        <f t="shared" si="37"/>
        <v>24.5</v>
      </c>
      <c r="F435" s="12">
        <v>8</v>
      </c>
      <c r="G435" s="12">
        <v>196</v>
      </c>
      <c r="H435" s="11" t="s">
        <v>15</v>
      </c>
      <c r="I435" s="11" t="s">
        <v>39</v>
      </c>
      <c r="J435" s="41">
        <v>45058</v>
      </c>
      <c r="K435" s="29" t="b">
        <f t="shared" si="34"/>
        <v>0</v>
      </c>
      <c r="L435" s="29" t="str">
        <f t="shared" si="36"/>
        <v>No Discount</v>
      </c>
      <c r="M435" s="18" t="str">
        <f t="shared" si="35"/>
        <v>Loss</v>
      </c>
    </row>
    <row r="436" spans="1:13" ht="15.75" thickBot="1" x14ac:dyDescent="0.3">
      <c r="A436" s="17" t="s">
        <v>901</v>
      </c>
      <c r="B436" s="11" t="s">
        <v>44</v>
      </c>
      <c r="C436" s="11" t="s">
        <v>25</v>
      </c>
      <c r="D436" s="25" t="str">
        <f>"Item _Unknown_ "&amp;UPPER(LEFT(C433,3))</f>
        <v>Item _Unknown_ FOO</v>
      </c>
      <c r="E436" s="27">
        <f t="shared" si="37"/>
        <v>9.5</v>
      </c>
      <c r="F436" s="12">
        <v>4</v>
      </c>
      <c r="G436" s="12">
        <v>38</v>
      </c>
      <c r="H436" s="11" t="s">
        <v>15</v>
      </c>
      <c r="I436" s="11" t="s">
        <v>39</v>
      </c>
      <c r="J436" s="41">
        <v>45458</v>
      </c>
      <c r="K436" s="29" t="b">
        <f t="shared" si="34"/>
        <v>0</v>
      </c>
      <c r="L436" s="29" t="str">
        <f t="shared" si="36"/>
        <v>No Discount</v>
      </c>
      <c r="M436" s="18" t="str">
        <f t="shared" si="35"/>
        <v>Loss</v>
      </c>
    </row>
    <row r="437" spans="1:13" ht="15.75" thickBot="1" x14ac:dyDescent="0.3">
      <c r="A437" s="16" t="s">
        <v>903</v>
      </c>
      <c r="B437" s="5" t="s">
        <v>41</v>
      </c>
      <c r="C437" s="5" t="s">
        <v>13</v>
      </c>
      <c r="D437" s="25" t="str">
        <f>"Item _Unknown_ "&amp;UPPER(LEFT(C434,3))</f>
        <v>Item _Unknown_ FOO</v>
      </c>
      <c r="E437" s="27">
        <f t="shared" si="37"/>
        <v>12.5</v>
      </c>
      <c r="F437" s="6">
        <v>8</v>
      </c>
      <c r="G437" s="6">
        <v>100</v>
      </c>
      <c r="H437" s="5" t="s">
        <v>15</v>
      </c>
      <c r="I437" s="5" t="s">
        <v>39</v>
      </c>
      <c r="J437" s="40">
        <v>44625</v>
      </c>
      <c r="K437" s="29" t="b">
        <f t="shared" si="34"/>
        <v>0</v>
      </c>
      <c r="L437" s="29" t="str">
        <f t="shared" si="36"/>
        <v>No Discount</v>
      </c>
      <c r="M437" s="18" t="str">
        <f t="shared" si="35"/>
        <v>Loss</v>
      </c>
    </row>
    <row r="438" spans="1:13" ht="15.75" thickBot="1" x14ac:dyDescent="0.3">
      <c r="A438" s="17" t="s">
        <v>904</v>
      </c>
      <c r="B438" s="11" t="s">
        <v>44</v>
      </c>
      <c r="C438" s="11" t="s">
        <v>42</v>
      </c>
      <c r="D438" s="25" t="str">
        <f>"Item _Unknown_ "&amp;UPPER(LEFT(C435,3))</f>
        <v>Item _Unknown_ BEV</v>
      </c>
      <c r="E438" s="27">
        <f t="shared" si="37"/>
        <v>12.5</v>
      </c>
      <c r="F438" s="12">
        <v>10</v>
      </c>
      <c r="G438" s="12">
        <v>125</v>
      </c>
      <c r="H438" s="11" t="s">
        <v>27</v>
      </c>
      <c r="I438" s="11" t="s">
        <v>39</v>
      </c>
      <c r="J438" s="41">
        <v>44673</v>
      </c>
      <c r="K438" s="29" t="b">
        <f t="shared" si="34"/>
        <v>0</v>
      </c>
      <c r="L438" s="29" t="str">
        <f t="shared" si="36"/>
        <v>No Discount</v>
      </c>
      <c r="M438" s="18" t="str">
        <f t="shared" si="35"/>
        <v>Loss</v>
      </c>
    </row>
    <row r="439" spans="1:13" ht="15.75" thickBot="1" x14ac:dyDescent="0.3">
      <c r="A439" s="16" t="s">
        <v>907</v>
      </c>
      <c r="B439" s="5" t="s">
        <v>90</v>
      </c>
      <c r="C439" s="5" t="s">
        <v>25</v>
      </c>
      <c r="D439" s="25" t="str">
        <f>"Item _Unknown_ "&amp;UPPER(LEFT(C430,3))</f>
        <v>Item _Unknown_ FUR</v>
      </c>
      <c r="E439" s="27">
        <f t="shared" si="37"/>
        <v>39.5</v>
      </c>
      <c r="F439" s="6">
        <v>6</v>
      </c>
      <c r="G439" s="6">
        <v>237</v>
      </c>
      <c r="H439" s="5" t="s">
        <v>27</v>
      </c>
      <c r="I439" s="5" t="s">
        <v>16</v>
      </c>
      <c r="J439" s="40">
        <v>44735</v>
      </c>
      <c r="K439" s="29" t="b">
        <f t="shared" si="34"/>
        <v>0</v>
      </c>
      <c r="L439" s="29" t="str">
        <f t="shared" si="36"/>
        <v>No Discount</v>
      </c>
      <c r="M439" s="18" t="str">
        <f t="shared" si="35"/>
        <v>High Profit</v>
      </c>
    </row>
    <row r="440" spans="1:13" ht="30.75" thickBot="1" x14ac:dyDescent="0.3">
      <c r="A440" s="17" t="s">
        <v>910</v>
      </c>
      <c r="B440" s="11" t="s">
        <v>29</v>
      </c>
      <c r="C440" s="11" t="s">
        <v>158</v>
      </c>
      <c r="D440" s="25" t="str">
        <f t="shared" si="38"/>
        <v>Item _Unknown_ BEV</v>
      </c>
      <c r="E440" s="27">
        <f t="shared" si="37"/>
        <v>12.5</v>
      </c>
      <c r="F440" s="12">
        <v>1</v>
      </c>
      <c r="G440" s="12">
        <v>12.5</v>
      </c>
      <c r="H440" s="11" t="s">
        <v>15</v>
      </c>
      <c r="I440" s="11" t="s">
        <v>16</v>
      </c>
      <c r="J440" s="41">
        <v>44795</v>
      </c>
      <c r="K440" s="29" t="b">
        <f t="shared" si="34"/>
        <v>0</v>
      </c>
      <c r="L440" s="29" t="str">
        <f t="shared" si="36"/>
        <v>No Discount</v>
      </c>
      <c r="M440" s="18" t="str">
        <f t="shared" si="35"/>
        <v>Loss</v>
      </c>
    </row>
    <row r="441" spans="1:13" ht="30.75" thickBot="1" x14ac:dyDescent="0.3">
      <c r="A441" s="16" t="s">
        <v>912</v>
      </c>
      <c r="B441" s="5" t="s">
        <v>140</v>
      </c>
      <c r="C441" s="5" t="s">
        <v>158</v>
      </c>
      <c r="D441" s="25" t="str">
        <f t="shared" si="38"/>
        <v>Item _Unknown_ PAT</v>
      </c>
      <c r="E441" s="27">
        <f t="shared" si="37"/>
        <v>35</v>
      </c>
      <c r="F441" s="6">
        <v>6</v>
      </c>
      <c r="G441" s="6">
        <v>210</v>
      </c>
      <c r="H441" s="5" t="s">
        <v>51</v>
      </c>
      <c r="I441" s="5" t="s">
        <v>16</v>
      </c>
      <c r="J441" s="40">
        <v>45574</v>
      </c>
      <c r="K441" s="29" t="b">
        <f t="shared" si="34"/>
        <v>0</v>
      </c>
      <c r="L441" s="29" t="str">
        <f t="shared" si="36"/>
        <v>No Discount</v>
      </c>
      <c r="M441" s="18" t="str">
        <f t="shared" si="35"/>
        <v>High Profit</v>
      </c>
    </row>
    <row r="442" spans="1:13" ht="15.75" thickBot="1" x14ac:dyDescent="0.3">
      <c r="A442" s="17" t="s">
        <v>913</v>
      </c>
      <c r="B442" s="11" t="s">
        <v>41</v>
      </c>
      <c r="C442" s="11" t="s">
        <v>20</v>
      </c>
      <c r="D442" s="25" t="str">
        <f t="shared" si="38"/>
        <v>Item _Unknown_ FUR</v>
      </c>
      <c r="E442" s="27">
        <f t="shared" si="37"/>
        <v>30.5</v>
      </c>
      <c r="F442" s="12">
        <v>3</v>
      </c>
      <c r="G442" s="12">
        <v>91.5</v>
      </c>
      <c r="H442" s="11" t="s">
        <v>51</v>
      </c>
      <c r="I442" s="11" t="s">
        <v>16</v>
      </c>
      <c r="J442" s="41">
        <v>44619</v>
      </c>
      <c r="K442" s="29" t="b">
        <f t="shared" si="34"/>
        <v>0</v>
      </c>
      <c r="L442" s="29" t="str">
        <f t="shared" si="36"/>
        <v>No Discount</v>
      </c>
      <c r="M442" s="18" t="str">
        <f t="shared" si="35"/>
        <v>Medium</v>
      </c>
    </row>
    <row r="443" spans="1:13" ht="30.75" thickBot="1" x14ac:dyDescent="0.3">
      <c r="A443" s="16" t="s">
        <v>915</v>
      </c>
      <c r="B443" s="5" t="s">
        <v>99</v>
      </c>
      <c r="C443" s="5" t="s">
        <v>75</v>
      </c>
      <c r="D443" s="25" t="str">
        <f t="shared" si="38"/>
        <v>Item _Unknown_ BEV</v>
      </c>
      <c r="E443" s="27">
        <f t="shared" si="37"/>
        <v>27.5</v>
      </c>
      <c r="F443" s="6">
        <v>5</v>
      </c>
      <c r="G443" s="6">
        <v>137.5</v>
      </c>
      <c r="H443" s="5" t="s">
        <v>15</v>
      </c>
      <c r="I443" s="5" t="s">
        <v>39</v>
      </c>
      <c r="J443" s="40">
        <v>44864</v>
      </c>
      <c r="K443" s="29" t="b">
        <f t="shared" si="34"/>
        <v>0</v>
      </c>
      <c r="L443" s="29" t="str">
        <f t="shared" si="36"/>
        <v>No Discount</v>
      </c>
      <c r="M443" s="18" t="str">
        <f t="shared" si="35"/>
        <v>Medium</v>
      </c>
    </row>
    <row r="444" spans="1:13" ht="15.75" thickBot="1" x14ac:dyDescent="0.3">
      <c r="A444" s="17" t="s">
        <v>917</v>
      </c>
      <c r="B444" s="11" t="s">
        <v>130</v>
      </c>
      <c r="C444" s="11" t="s">
        <v>20</v>
      </c>
      <c r="D444" s="25" t="str">
        <f t="shared" si="38"/>
        <v>Item _Unknown_ COM</v>
      </c>
      <c r="E444" s="27">
        <f t="shared" si="37"/>
        <v>9.5</v>
      </c>
      <c r="F444" s="12">
        <v>10</v>
      </c>
      <c r="G444" s="12">
        <v>95</v>
      </c>
      <c r="H444" s="11" t="s">
        <v>15</v>
      </c>
      <c r="I444" s="11" t="s">
        <v>16</v>
      </c>
      <c r="J444" s="41">
        <v>45355</v>
      </c>
      <c r="K444" s="29" t="b">
        <f t="shared" si="34"/>
        <v>0</v>
      </c>
      <c r="L444" s="29" t="str">
        <f t="shared" si="36"/>
        <v>No Discount</v>
      </c>
      <c r="M444" s="18" t="str">
        <f t="shared" si="35"/>
        <v>Loss</v>
      </c>
    </row>
    <row r="445" spans="1:13" ht="15.75" thickBot="1" x14ac:dyDescent="0.3">
      <c r="A445" s="16" t="s">
        <v>918</v>
      </c>
      <c r="B445" s="5" t="s">
        <v>136</v>
      </c>
      <c r="C445" s="5" t="s">
        <v>20</v>
      </c>
      <c r="D445" s="25" t="str">
        <f t="shared" si="38"/>
        <v>Item _Unknown_ COM</v>
      </c>
      <c r="E445" s="27">
        <f t="shared" si="37"/>
        <v>24.5</v>
      </c>
      <c r="F445" s="6">
        <v>10</v>
      </c>
      <c r="G445" s="6">
        <v>245</v>
      </c>
      <c r="H445" s="5" t="s">
        <v>27</v>
      </c>
      <c r="I445" s="5" t="s">
        <v>16</v>
      </c>
      <c r="J445" s="40">
        <v>45656</v>
      </c>
      <c r="K445" s="29" t="b">
        <f t="shared" si="34"/>
        <v>0</v>
      </c>
      <c r="L445" s="29" t="str">
        <f t="shared" si="36"/>
        <v>No Discount</v>
      </c>
      <c r="M445" s="18" t="str">
        <f t="shared" si="35"/>
        <v>Loss</v>
      </c>
    </row>
    <row r="446" spans="1:13" ht="15.75" thickBot="1" x14ac:dyDescent="0.3">
      <c r="A446" s="17" t="s">
        <v>921</v>
      </c>
      <c r="B446" s="11" t="s">
        <v>99</v>
      </c>
      <c r="C446" s="11" t="s">
        <v>30</v>
      </c>
      <c r="D446" s="25" t="str">
        <f t="shared" si="38"/>
        <v>Item _Unknown_ MIL</v>
      </c>
      <c r="E446" s="27">
        <f t="shared" si="37"/>
        <v>11</v>
      </c>
      <c r="F446" s="12">
        <v>10</v>
      </c>
      <c r="G446" s="12">
        <v>110</v>
      </c>
      <c r="H446" s="11" t="s">
        <v>27</v>
      </c>
      <c r="I446" s="11" t="s">
        <v>39</v>
      </c>
      <c r="J446" s="41">
        <v>44665</v>
      </c>
      <c r="K446" s="29" t="b">
        <f t="shared" si="34"/>
        <v>0</v>
      </c>
      <c r="L446" s="29" t="str">
        <f t="shared" si="36"/>
        <v>No Discount</v>
      </c>
      <c r="M446" s="18" t="str">
        <f t="shared" si="35"/>
        <v>Loss</v>
      </c>
    </row>
    <row r="447" spans="1:13" ht="15.75" thickBot="1" x14ac:dyDescent="0.3">
      <c r="A447" s="16" t="s">
        <v>922</v>
      </c>
      <c r="B447" s="5" t="s">
        <v>149</v>
      </c>
      <c r="C447" s="5" t="s">
        <v>42</v>
      </c>
      <c r="D447" s="25" t="str">
        <f t="shared" si="38"/>
        <v>Item _Unknown_ ELE</v>
      </c>
      <c r="E447" s="27">
        <f t="shared" si="37"/>
        <v>20</v>
      </c>
      <c r="F447" s="6">
        <v>3</v>
      </c>
      <c r="G447" s="6">
        <v>60</v>
      </c>
      <c r="H447" s="5" t="s">
        <v>15</v>
      </c>
      <c r="I447" s="5" t="s">
        <v>16</v>
      </c>
      <c r="J447" s="40">
        <v>45376</v>
      </c>
      <c r="K447" s="29" t="b">
        <f t="shared" si="34"/>
        <v>0</v>
      </c>
      <c r="L447" s="29" t="str">
        <f t="shared" si="36"/>
        <v>No Discount</v>
      </c>
      <c r="M447" s="18" t="str">
        <f t="shared" si="35"/>
        <v>Loss</v>
      </c>
    </row>
    <row r="448" spans="1:13" ht="15.75" thickBot="1" x14ac:dyDescent="0.3">
      <c r="A448" s="17" t="s">
        <v>923</v>
      </c>
      <c r="B448" s="11" t="s">
        <v>86</v>
      </c>
      <c r="C448" s="11" t="s">
        <v>13</v>
      </c>
      <c r="D448" s="25" t="str">
        <f t="shared" si="38"/>
        <v>Item _Unknown_ MIL</v>
      </c>
      <c r="E448" s="27">
        <f t="shared" si="37"/>
        <v>33.5</v>
      </c>
      <c r="F448" s="12">
        <v>4</v>
      </c>
      <c r="G448" s="12">
        <v>134</v>
      </c>
      <c r="H448" s="11" t="s">
        <v>51</v>
      </c>
      <c r="I448" s="11" t="s">
        <v>16</v>
      </c>
      <c r="J448" s="41">
        <v>45017</v>
      </c>
      <c r="K448" s="29" t="b">
        <f t="shared" si="34"/>
        <v>0</v>
      </c>
      <c r="L448" s="29" t="str">
        <f t="shared" si="36"/>
        <v>No Discount</v>
      </c>
      <c r="M448" s="18" t="str">
        <f t="shared" si="35"/>
        <v>Medium</v>
      </c>
    </row>
    <row r="449" spans="1:13" ht="30.75" thickBot="1" x14ac:dyDescent="0.3">
      <c r="A449" s="16" t="s">
        <v>924</v>
      </c>
      <c r="B449" s="5" t="s">
        <v>12</v>
      </c>
      <c r="C449" s="5" t="s">
        <v>75</v>
      </c>
      <c r="D449" s="25" t="str">
        <f t="shared" si="38"/>
        <v>Item _Unknown_ MIL</v>
      </c>
      <c r="E449" s="27">
        <f t="shared" si="37"/>
        <v>36.5</v>
      </c>
      <c r="F449" s="6">
        <v>6</v>
      </c>
      <c r="G449" s="6">
        <v>219</v>
      </c>
      <c r="H449" s="5" t="s">
        <v>51</v>
      </c>
      <c r="I449" s="5" t="s">
        <v>39</v>
      </c>
      <c r="J449" s="40">
        <v>45053</v>
      </c>
      <c r="K449" s="29" t="b">
        <f t="shared" si="34"/>
        <v>0</v>
      </c>
      <c r="L449" s="29" t="str">
        <f t="shared" si="36"/>
        <v>No Discount</v>
      </c>
      <c r="M449" s="18" t="str">
        <f t="shared" si="35"/>
        <v>High Profit</v>
      </c>
    </row>
    <row r="450" spans="1:13" ht="15.75" thickBot="1" x14ac:dyDescent="0.3">
      <c r="A450" s="17" t="s">
        <v>925</v>
      </c>
      <c r="B450" s="11" t="s">
        <v>106</v>
      </c>
      <c r="C450" s="11" t="s">
        <v>25</v>
      </c>
      <c r="D450" s="25" t="str">
        <f t="shared" si="38"/>
        <v>Item _Unknown_ FOO</v>
      </c>
      <c r="E450" s="27">
        <f t="shared" si="37"/>
        <v>33.5</v>
      </c>
      <c r="F450" s="12">
        <v>1</v>
      </c>
      <c r="G450" s="12">
        <v>33.5</v>
      </c>
      <c r="H450" s="11" t="s">
        <v>27</v>
      </c>
      <c r="I450" s="11" t="s">
        <v>39</v>
      </c>
      <c r="J450" s="41">
        <v>45430</v>
      </c>
      <c r="K450" s="29" t="b">
        <f t="shared" ref="K450:K513" si="39">IF(ROUND(E450*F450,2)=G450,FALSE,TRUE)</f>
        <v>0</v>
      </c>
      <c r="L450" s="29" t="str">
        <f t="shared" si="36"/>
        <v>No Discount</v>
      </c>
      <c r="M450" s="18" t="str">
        <f t="shared" ref="M450:M513" si="40">IF(E450&gt;=35,"High Profit",IF(E450&gt;=25,"Medium","Loss"))</f>
        <v>Medium</v>
      </c>
    </row>
    <row r="451" spans="1:13" ht="15.75" thickBot="1" x14ac:dyDescent="0.3">
      <c r="A451" s="16" t="s">
        <v>927</v>
      </c>
      <c r="B451" s="5" t="s">
        <v>90</v>
      </c>
      <c r="C451" s="5" t="s">
        <v>30</v>
      </c>
      <c r="D451" s="25" t="str">
        <f t="shared" si="38"/>
        <v>Item _Unknown_ FUR</v>
      </c>
      <c r="E451" s="27">
        <f t="shared" si="37"/>
        <v>12.5</v>
      </c>
      <c r="F451" s="6">
        <v>2</v>
      </c>
      <c r="G451" s="6">
        <v>25</v>
      </c>
      <c r="H451" s="5" t="s">
        <v>15</v>
      </c>
      <c r="I451" s="5" t="s">
        <v>39</v>
      </c>
      <c r="J451" s="40">
        <v>44810</v>
      </c>
      <c r="K451" s="29" t="b">
        <f t="shared" si="39"/>
        <v>0</v>
      </c>
      <c r="L451" s="29" t="str">
        <f t="shared" ref="L451:L514" si="41">IF(K451=FALSE,"No Discount","Discount Applied")</f>
        <v>No Discount</v>
      </c>
      <c r="M451" s="18" t="str">
        <f t="shared" si="40"/>
        <v>Loss</v>
      </c>
    </row>
    <row r="452" spans="1:13" ht="30.75" thickBot="1" x14ac:dyDescent="0.3">
      <c r="A452" s="17" t="s">
        <v>928</v>
      </c>
      <c r="B452" s="11" t="s">
        <v>19</v>
      </c>
      <c r="C452" s="11" t="s">
        <v>75</v>
      </c>
      <c r="D452" s="25" t="str">
        <f t="shared" si="38"/>
        <v>Item _Unknown_ PAT</v>
      </c>
      <c r="E452" s="27">
        <f t="shared" si="37"/>
        <v>35</v>
      </c>
      <c r="F452" s="12">
        <v>9</v>
      </c>
      <c r="G452" s="12">
        <v>315</v>
      </c>
      <c r="H452" s="11" t="s">
        <v>51</v>
      </c>
      <c r="I452" s="11" t="s">
        <v>16</v>
      </c>
      <c r="J452" s="41">
        <v>44724</v>
      </c>
      <c r="K452" s="29" t="b">
        <f t="shared" si="39"/>
        <v>0</v>
      </c>
      <c r="L452" s="29" t="str">
        <f t="shared" si="41"/>
        <v>No Discount</v>
      </c>
      <c r="M452" s="18" t="str">
        <f t="shared" si="40"/>
        <v>High Profit</v>
      </c>
    </row>
    <row r="453" spans="1:13" ht="15.75" thickBot="1" x14ac:dyDescent="0.3">
      <c r="A453" s="16" t="s">
        <v>929</v>
      </c>
      <c r="B453" s="5" t="s">
        <v>12</v>
      </c>
      <c r="C453" s="5" t="s">
        <v>42</v>
      </c>
      <c r="D453" s="25" t="str">
        <f t="shared" si="38"/>
        <v>Item _Unknown_ ELE</v>
      </c>
      <c r="E453" s="27">
        <f t="shared" si="37"/>
        <v>11</v>
      </c>
      <c r="F453" s="6">
        <v>4</v>
      </c>
      <c r="G453" s="6">
        <v>44</v>
      </c>
      <c r="H453" s="5" t="s">
        <v>27</v>
      </c>
      <c r="I453" s="5" t="s">
        <v>39</v>
      </c>
      <c r="J453" s="40">
        <v>45365</v>
      </c>
      <c r="K453" s="29" t="b">
        <f t="shared" si="39"/>
        <v>0</v>
      </c>
      <c r="L453" s="29" t="str">
        <f t="shared" si="41"/>
        <v>No Discount</v>
      </c>
      <c r="M453" s="18" t="str">
        <f t="shared" si="40"/>
        <v>Loss</v>
      </c>
    </row>
    <row r="454" spans="1:13" ht="15.75" thickBot="1" x14ac:dyDescent="0.3">
      <c r="A454" s="17" t="s">
        <v>930</v>
      </c>
      <c r="B454" s="11" t="s">
        <v>94</v>
      </c>
      <c r="C454" s="11" t="s">
        <v>13</v>
      </c>
      <c r="D454" s="25" t="str">
        <f t="shared" si="38"/>
        <v>Item _Unknown_ BEV</v>
      </c>
      <c r="E454" s="27">
        <f t="shared" si="37"/>
        <v>17</v>
      </c>
      <c r="F454" s="12">
        <v>8</v>
      </c>
      <c r="G454" s="12">
        <v>136</v>
      </c>
      <c r="H454" s="11" t="s">
        <v>15</v>
      </c>
      <c r="I454" s="11" t="s">
        <v>39</v>
      </c>
      <c r="J454" s="41">
        <v>44899</v>
      </c>
      <c r="K454" s="29" t="b">
        <f t="shared" si="39"/>
        <v>0</v>
      </c>
      <c r="L454" s="29" t="str">
        <f t="shared" si="41"/>
        <v>No Discount</v>
      </c>
      <c r="M454" s="18" t="str">
        <f t="shared" si="40"/>
        <v>Loss</v>
      </c>
    </row>
    <row r="455" spans="1:13" ht="15.75" thickBot="1" x14ac:dyDescent="0.3">
      <c r="A455" s="16" t="s">
        <v>931</v>
      </c>
      <c r="B455" s="5" t="s">
        <v>71</v>
      </c>
      <c r="C455" s="5" t="s">
        <v>20</v>
      </c>
      <c r="D455" s="25" t="str">
        <f t="shared" si="38"/>
        <v>Item _Unknown_ FOO</v>
      </c>
      <c r="E455" s="27">
        <f t="shared" si="37"/>
        <v>36.5</v>
      </c>
      <c r="F455" s="6">
        <v>8</v>
      </c>
      <c r="G455" s="6">
        <v>292</v>
      </c>
      <c r="H455" s="5" t="s">
        <v>27</v>
      </c>
      <c r="I455" s="5" t="s">
        <v>16</v>
      </c>
      <c r="J455" s="40">
        <v>45235</v>
      </c>
      <c r="K455" s="29" t="b">
        <f t="shared" si="39"/>
        <v>0</v>
      </c>
      <c r="L455" s="29" t="str">
        <f t="shared" si="41"/>
        <v>No Discount</v>
      </c>
      <c r="M455" s="18" t="str">
        <f t="shared" si="40"/>
        <v>High Profit</v>
      </c>
    </row>
    <row r="456" spans="1:13" ht="15.75" thickBot="1" x14ac:dyDescent="0.3">
      <c r="A456" s="17" t="s">
        <v>932</v>
      </c>
      <c r="B456" s="11" t="s">
        <v>19</v>
      </c>
      <c r="C456" s="11" t="s">
        <v>30</v>
      </c>
      <c r="D456" s="25" t="str">
        <f t="shared" si="38"/>
        <v>Item _Unknown_ ELE</v>
      </c>
      <c r="E456" s="27">
        <f t="shared" si="37"/>
        <v>29</v>
      </c>
      <c r="F456" s="12">
        <v>1</v>
      </c>
      <c r="G456" s="12">
        <v>29</v>
      </c>
      <c r="H456" s="11" t="s">
        <v>51</v>
      </c>
      <c r="I456" s="11" t="s">
        <v>16</v>
      </c>
      <c r="J456" s="41">
        <v>45483</v>
      </c>
      <c r="K456" s="29" t="b">
        <f t="shared" si="39"/>
        <v>0</v>
      </c>
      <c r="L456" s="29" t="str">
        <f t="shared" si="41"/>
        <v>No Discount</v>
      </c>
      <c r="M456" s="18" t="str">
        <f t="shared" si="40"/>
        <v>Medium</v>
      </c>
    </row>
    <row r="457" spans="1:13" ht="30.75" thickBot="1" x14ac:dyDescent="0.3">
      <c r="A457" s="16" t="s">
        <v>933</v>
      </c>
      <c r="B457" s="5" t="s">
        <v>29</v>
      </c>
      <c r="C457" s="5" t="s">
        <v>75</v>
      </c>
      <c r="D457" s="25" t="str">
        <f t="shared" si="38"/>
        <v>Item _Unknown_ FUR</v>
      </c>
      <c r="E457" s="27">
        <f t="shared" si="37"/>
        <v>38</v>
      </c>
      <c r="F457" s="6">
        <v>10</v>
      </c>
      <c r="G457" s="6">
        <v>380</v>
      </c>
      <c r="H457" s="5" t="s">
        <v>15</v>
      </c>
      <c r="I457" s="5" t="s">
        <v>39</v>
      </c>
      <c r="J457" s="40">
        <v>44791</v>
      </c>
      <c r="K457" s="29" t="b">
        <f t="shared" si="39"/>
        <v>0</v>
      </c>
      <c r="L457" s="29" t="str">
        <f t="shared" si="41"/>
        <v>No Discount</v>
      </c>
      <c r="M457" s="18" t="str">
        <f t="shared" si="40"/>
        <v>High Profit</v>
      </c>
    </row>
    <row r="458" spans="1:13" ht="15.75" thickBot="1" x14ac:dyDescent="0.3">
      <c r="A458" s="17" t="s">
        <v>934</v>
      </c>
      <c r="B458" s="11" t="s">
        <v>41</v>
      </c>
      <c r="C458" s="11" t="s">
        <v>42</v>
      </c>
      <c r="D458" s="25" t="str">
        <f t="shared" si="38"/>
        <v>Item _Unknown_ PAT</v>
      </c>
      <c r="E458" s="27">
        <f t="shared" si="37"/>
        <v>6.5</v>
      </c>
      <c r="F458" s="12">
        <v>9</v>
      </c>
      <c r="G458" s="12">
        <v>58.5</v>
      </c>
      <c r="H458" s="11" t="s">
        <v>15</v>
      </c>
      <c r="I458" s="11" t="s">
        <v>16</v>
      </c>
      <c r="J458" s="41">
        <v>45119</v>
      </c>
      <c r="K458" s="29" t="b">
        <f t="shared" si="39"/>
        <v>0</v>
      </c>
      <c r="L458" s="29" t="str">
        <f t="shared" si="41"/>
        <v>No Discount</v>
      </c>
      <c r="M458" s="18" t="str">
        <f t="shared" si="40"/>
        <v>Loss</v>
      </c>
    </row>
    <row r="459" spans="1:13" ht="30.75" thickBot="1" x14ac:dyDescent="0.3">
      <c r="A459" s="16" t="s">
        <v>935</v>
      </c>
      <c r="B459" s="5" t="s">
        <v>29</v>
      </c>
      <c r="C459" s="5" t="s">
        <v>75</v>
      </c>
      <c r="D459" s="25" t="str">
        <f t="shared" si="38"/>
        <v>Item _Unknown_ MIL</v>
      </c>
      <c r="E459" s="27">
        <f t="shared" si="37"/>
        <v>32</v>
      </c>
      <c r="F459" s="6">
        <v>2</v>
      </c>
      <c r="G459" s="6">
        <v>64</v>
      </c>
      <c r="H459" s="5" t="s">
        <v>51</v>
      </c>
      <c r="I459" s="5" t="s">
        <v>39</v>
      </c>
      <c r="J459" s="40">
        <v>44965</v>
      </c>
      <c r="K459" s="29" t="b">
        <f t="shared" si="39"/>
        <v>0</v>
      </c>
      <c r="L459" s="29" t="str">
        <f t="shared" si="41"/>
        <v>No Discount</v>
      </c>
      <c r="M459" s="18" t="str">
        <f t="shared" si="40"/>
        <v>Medium</v>
      </c>
    </row>
    <row r="460" spans="1:13" ht="15.75" thickBot="1" x14ac:dyDescent="0.3">
      <c r="A460" s="17" t="s">
        <v>936</v>
      </c>
      <c r="B460" s="11" t="s">
        <v>86</v>
      </c>
      <c r="C460" s="11" t="s">
        <v>20</v>
      </c>
      <c r="D460" s="25" t="str">
        <f t="shared" si="38"/>
        <v>Item _Unknown_ FOO</v>
      </c>
      <c r="E460" s="27">
        <f t="shared" si="37"/>
        <v>29</v>
      </c>
      <c r="F460" s="12">
        <v>5</v>
      </c>
      <c r="G460" s="12">
        <v>145</v>
      </c>
      <c r="H460" s="11" t="s">
        <v>51</v>
      </c>
      <c r="I460" s="11" t="s">
        <v>39</v>
      </c>
      <c r="J460" s="41">
        <v>44585</v>
      </c>
      <c r="K460" s="29" t="b">
        <f t="shared" si="39"/>
        <v>0</v>
      </c>
      <c r="L460" s="29" t="str">
        <f t="shared" si="41"/>
        <v>No Discount</v>
      </c>
      <c r="M460" s="18" t="str">
        <f t="shared" si="40"/>
        <v>Medium</v>
      </c>
    </row>
    <row r="461" spans="1:13" ht="15.75" thickBot="1" x14ac:dyDescent="0.3">
      <c r="A461" s="16" t="s">
        <v>938</v>
      </c>
      <c r="B461" s="5" t="s">
        <v>206</v>
      </c>
      <c r="C461" s="5" t="s">
        <v>30</v>
      </c>
      <c r="D461" s="25" t="str">
        <f t="shared" si="38"/>
        <v>Item _Unknown_ ELE</v>
      </c>
      <c r="E461" s="27">
        <f t="shared" si="37"/>
        <v>41</v>
      </c>
      <c r="F461" s="6">
        <v>3</v>
      </c>
      <c r="G461" s="6">
        <v>123</v>
      </c>
      <c r="H461" s="5" t="s">
        <v>51</v>
      </c>
      <c r="I461" s="5" t="s">
        <v>16</v>
      </c>
      <c r="J461" s="40">
        <v>45287</v>
      </c>
      <c r="K461" s="29" t="b">
        <f t="shared" si="39"/>
        <v>0</v>
      </c>
      <c r="L461" s="29" t="str">
        <f t="shared" si="41"/>
        <v>No Discount</v>
      </c>
      <c r="M461" s="18" t="str">
        <f t="shared" si="40"/>
        <v>High Profit</v>
      </c>
    </row>
    <row r="462" spans="1:13" ht="30.75" thickBot="1" x14ac:dyDescent="0.3">
      <c r="A462" s="17" t="s">
        <v>940</v>
      </c>
      <c r="B462" s="11" t="s">
        <v>206</v>
      </c>
      <c r="C462" s="11" t="s">
        <v>158</v>
      </c>
      <c r="D462" s="25" t="str">
        <f t="shared" si="38"/>
        <v>Item _Unknown_ FUR</v>
      </c>
      <c r="E462" s="27">
        <f t="shared" si="37"/>
        <v>12.5</v>
      </c>
      <c r="F462" s="12">
        <v>5</v>
      </c>
      <c r="G462" s="12">
        <v>62.5</v>
      </c>
      <c r="H462" s="11" t="s">
        <v>27</v>
      </c>
      <c r="I462" s="11" t="s">
        <v>16</v>
      </c>
      <c r="J462" s="41">
        <v>45224</v>
      </c>
      <c r="K462" s="29" t="b">
        <f t="shared" si="39"/>
        <v>0</v>
      </c>
      <c r="L462" s="29" t="str">
        <f t="shared" si="41"/>
        <v>No Discount</v>
      </c>
      <c r="M462" s="18" t="str">
        <f t="shared" si="40"/>
        <v>Loss</v>
      </c>
    </row>
    <row r="463" spans="1:13" ht="15.75" thickBot="1" x14ac:dyDescent="0.3">
      <c r="A463" s="16" t="s">
        <v>941</v>
      </c>
      <c r="B463" s="5" t="s">
        <v>206</v>
      </c>
      <c r="C463" s="5" t="s">
        <v>42</v>
      </c>
      <c r="D463" s="25" t="str">
        <f t="shared" si="38"/>
        <v>Item _Unknown_ ELE</v>
      </c>
      <c r="E463" s="27">
        <f t="shared" si="37"/>
        <v>6.5</v>
      </c>
      <c r="F463" s="6">
        <v>1</v>
      </c>
      <c r="G463" s="6">
        <v>6.5</v>
      </c>
      <c r="H463" s="5" t="s">
        <v>51</v>
      </c>
      <c r="I463" s="5" t="s">
        <v>16</v>
      </c>
      <c r="J463" s="40">
        <v>45110</v>
      </c>
      <c r="K463" s="29" t="b">
        <f t="shared" si="39"/>
        <v>0</v>
      </c>
      <c r="L463" s="29" t="str">
        <f t="shared" si="41"/>
        <v>No Discount</v>
      </c>
      <c r="M463" s="18" t="str">
        <f t="shared" si="40"/>
        <v>Loss</v>
      </c>
    </row>
    <row r="464" spans="1:13" ht="15.75" thickBot="1" x14ac:dyDescent="0.3">
      <c r="A464" s="17" t="s">
        <v>942</v>
      </c>
      <c r="B464" s="11" t="s">
        <v>44</v>
      </c>
      <c r="C464" s="11" t="s">
        <v>30</v>
      </c>
      <c r="D464" s="25" t="str">
        <f t="shared" si="38"/>
        <v>Item _Unknown_ MIL</v>
      </c>
      <c r="E464" s="27">
        <f t="shared" si="37"/>
        <v>36.5</v>
      </c>
      <c r="F464" s="12">
        <v>1</v>
      </c>
      <c r="G464" s="12">
        <v>36.5</v>
      </c>
      <c r="H464" s="11" t="s">
        <v>51</v>
      </c>
      <c r="I464" s="11" t="s">
        <v>16</v>
      </c>
      <c r="J464" s="41">
        <v>44742</v>
      </c>
      <c r="K464" s="29" t="b">
        <f t="shared" si="39"/>
        <v>0</v>
      </c>
      <c r="L464" s="29" t="str">
        <f t="shared" si="41"/>
        <v>No Discount</v>
      </c>
      <c r="M464" s="18" t="str">
        <f t="shared" si="40"/>
        <v>High Profit</v>
      </c>
    </row>
    <row r="465" spans="1:13" ht="15.75" thickBot="1" x14ac:dyDescent="0.3">
      <c r="A465" s="17" t="s">
        <v>946</v>
      </c>
      <c r="B465" s="11" t="s">
        <v>140</v>
      </c>
      <c r="C465" s="11" t="s">
        <v>13</v>
      </c>
      <c r="D465" s="25" t="str">
        <f>"Item _Unknown_ "&amp;UPPER(LEFT(C462,3))</f>
        <v>Item _Unknown_ COM</v>
      </c>
      <c r="E465" s="27">
        <f t="shared" si="37"/>
        <v>21.5</v>
      </c>
      <c r="F465" s="12">
        <v>5</v>
      </c>
      <c r="G465" s="12">
        <v>107.5</v>
      </c>
      <c r="H465" s="11" t="s">
        <v>15</v>
      </c>
      <c r="I465" s="11" t="s">
        <v>16</v>
      </c>
      <c r="J465" s="41">
        <v>45060</v>
      </c>
      <c r="K465" s="29" t="b">
        <f t="shared" si="39"/>
        <v>0</v>
      </c>
      <c r="L465" s="29" t="str">
        <f t="shared" si="41"/>
        <v>No Discount</v>
      </c>
      <c r="M465" s="18" t="str">
        <f t="shared" si="40"/>
        <v>Loss</v>
      </c>
    </row>
    <row r="466" spans="1:13" ht="15.75" thickBot="1" x14ac:dyDescent="0.3">
      <c r="A466" s="16" t="s">
        <v>947</v>
      </c>
      <c r="B466" s="5" t="s">
        <v>120</v>
      </c>
      <c r="C466" s="5" t="s">
        <v>25</v>
      </c>
      <c r="D466" s="25" t="str">
        <f>"Item _Unknown_ "&amp;UPPER(LEFT(C463,3))</f>
        <v>Item _Unknown_ FUR</v>
      </c>
      <c r="E466" s="27">
        <f t="shared" si="37"/>
        <v>12.5</v>
      </c>
      <c r="F466" s="6">
        <v>8</v>
      </c>
      <c r="G466" s="6">
        <v>100</v>
      </c>
      <c r="H466" s="5" t="s">
        <v>27</v>
      </c>
      <c r="I466" s="5" t="s">
        <v>16</v>
      </c>
      <c r="J466" s="40">
        <v>45355</v>
      </c>
      <c r="K466" s="29" t="b">
        <f t="shared" si="39"/>
        <v>0</v>
      </c>
      <c r="L466" s="29" t="str">
        <f t="shared" si="41"/>
        <v>No Discount</v>
      </c>
      <c r="M466" s="18" t="str">
        <f t="shared" si="40"/>
        <v>Loss</v>
      </c>
    </row>
    <row r="467" spans="1:13" ht="30.75" thickBot="1" x14ac:dyDescent="0.3">
      <c r="A467" s="17" t="s">
        <v>948</v>
      </c>
      <c r="B467" s="11" t="s">
        <v>106</v>
      </c>
      <c r="C467" s="11" t="s">
        <v>158</v>
      </c>
      <c r="D467" s="25" t="str">
        <f>"Item _Unknown_ "&amp;UPPER(LEFT(C464,3))</f>
        <v>Item _Unknown_ FOO</v>
      </c>
      <c r="E467" s="27">
        <f t="shared" si="37"/>
        <v>20</v>
      </c>
      <c r="F467" s="12">
        <v>4</v>
      </c>
      <c r="G467" s="12">
        <v>80</v>
      </c>
      <c r="H467" s="11" t="s">
        <v>27</v>
      </c>
      <c r="I467" s="11" t="s">
        <v>16</v>
      </c>
      <c r="J467" s="41">
        <v>45018</v>
      </c>
      <c r="K467" s="29" t="b">
        <f t="shared" si="39"/>
        <v>0</v>
      </c>
      <c r="L467" s="29" t="str">
        <f t="shared" si="41"/>
        <v>No Discount</v>
      </c>
      <c r="M467" s="18" t="str">
        <f t="shared" si="40"/>
        <v>Loss</v>
      </c>
    </row>
    <row r="468" spans="1:13" ht="15.75" thickBot="1" x14ac:dyDescent="0.3">
      <c r="A468" s="16" t="s">
        <v>949</v>
      </c>
      <c r="B468" s="5" t="s">
        <v>106</v>
      </c>
      <c r="C468" s="5" t="s">
        <v>20</v>
      </c>
      <c r="D468" s="25" t="str">
        <f>"Item _Unknown_ "&amp;UPPER(LEFT(C459,3))</f>
        <v>Item _Unknown_ ELE</v>
      </c>
      <c r="E468" s="27">
        <f t="shared" si="37"/>
        <v>5</v>
      </c>
      <c r="F468" s="6">
        <v>6</v>
      </c>
      <c r="G468" s="6">
        <v>30</v>
      </c>
      <c r="H468" s="5" t="s">
        <v>27</v>
      </c>
      <c r="I468" s="5" t="s">
        <v>16</v>
      </c>
      <c r="J468" s="40">
        <v>44711</v>
      </c>
      <c r="K468" s="29" t="b">
        <f t="shared" si="39"/>
        <v>0</v>
      </c>
      <c r="L468" s="29" t="str">
        <f t="shared" si="41"/>
        <v>No Discount</v>
      </c>
      <c r="M468" s="18" t="str">
        <f t="shared" si="40"/>
        <v>Loss</v>
      </c>
    </row>
    <row r="469" spans="1:13" ht="15.75" thickBot="1" x14ac:dyDescent="0.3">
      <c r="A469" s="17" t="s">
        <v>950</v>
      </c>
      <c r="B469" s="11" t="s">
        <v>74</v>
      </c>
      <c r="C469" s="11" t="s">
        <v>42</v>
      </c>
      <c r="D469" s="25" t="str">
        <f t="shared" si="38"/>
        <v>Item _Unknown_ PAT</v>
      </c>
      <c r="E469" s="27">
        <f t="shared" si="37"/>
        <v>21.5</v>
      </c>
      <c r="F469" s="12">
        <v>8</v>
      </c>
      <c r="G469" s="12">
        <v>172</v>
      </c>
      <c r="H469" s="11" t="s">
        <v>51</v>
      </c>
      <c r="I469" s="11" t="s">
        <v>16</v>
      </c>
      <c r="J469" s="41">
        <v>45575</v>
      </c>
      <c r="K469" s="29" t="b">
        <f t="shared" si="39"/>
        <v>0</v>
      </c>
      <c r="L469" s="29" t="str">
        <f t="shared" si="41"/>
        <v>No Discount</v>
      </c>
      <c r="M469" s="18" t="str">
        <f t="shared" si="40"/>
        <v>Loss</v>
      </c>
    </row>
    <row r="470" spans="1:13" ht="15.75" thickBot="1" x14ac:dyDescent="0.3">
      <c r="A470" s="16" t="s">
        <v>952</v>
      </c>
      <c r="B470" s="5" t="s">
        <v>48</v>
      </c>
      <c r="C470" s="5" t="s">
        <v>30</v>
      </c>
      <c r="D470" s="25" t="str">
        <f t="shared" si="38"/>
        <v>Item _Unknown_ BEV</v>
      </c>
      <c r="E470" s="27">
        <f t="shared" si="37"/>
        <v>23</v>
      </c>
      <c r="F470" s="6">
        <v>2</v>
      </c>
      <c r="G470" s="6">
        <v>46</v>
      </c>
      <c r="H470" s="5" t="s">
        <v>15</v>
      </c>
      <c r="I470" s="5" t="s">
        <v>39</v>
      </c>
      <c r="J470" s="40">
        <v>44848</v>
      </c>
      <c r="K470" s="29" t="b">
        <f t="shared" si="39"/>
        <v>0</v>
      </c>
      <c r="L470" s="29" t="str">
        <f t="shared" si="41"/>
        <v>No Discount</v>
      </c>
      <c r="M470" s="18" t="str">
        <f t="shared" si="40"/>
        <v>Loss</v>
      </c>
    </row>
    <row r="471" spans="1:13" ht="15.75" thickBot="1" x14ac:dyDescent="0.3">
      <c r="A471" s="17" t="s">
        <v>954</v>
      </c>
      <c r="B471" s="11" t="s">
        <v>41</v>
      </c>
      <c r="C471" s="11" t="s">
        <v>49</v>
      </c>
      <c r="D471" s="25" t="str">
        <f t="shared" si="38"/>
        <v>Item _Unknown_ COM</v>
      </c>
      <c r="E471" s="27">
        <f t="shared" si="37"/>
        <v>11</v>
      </c>
      <c r="F471" s="12">
        <v>5</v>
      </c>
      <c r="G471" s="12">
        <v>55</v>
      </c>
      <c r="H471" s="11" t="s">
        <v>15</v>
      </c>
      <c r="I471" s="11" t="s">
        <v>39</v>
      </c>
      <c r="J471" s="41">
        <v>44851</v>
      </c>
      <c r="K471" s="29" t="b">
        <f t="shared" si="39"/>
        <v>0</v>
      </c>
      <c r="L471" s="29" t="str">
        <f t="shared" si="41"/>
        <v>No Discount</v>
      </c>
      <c r="M471" s="18" t="str">
        <f t="shared" si="40"/>
        <v>Loss</v>
      </c>
    </row>
    <row r="472" spans="1:13" ht="15.75" thickBot="1" x14ac:dyDescent="0.3">
      <c r="A472" s="16" t="s">
        <v>956</v>
      </c>
      <c r="B472" s="5" t="s">
        <v>19</v>
      </c>
      <c r="C472" s="5" t="s">
        <v>20</v>
      </c>
      <c r="D472" s="25" t="str">
        <f t="shared" si="38"/>
        <v>Item _Unknown_ MIL</v>
      </c>
      <c r="E472" s="27">
        <f t="shared" si="37"/>
        <v>30.5</v>
      </c>
      <c r="F472" s="6">
        <v>2</v>
      </c>
      <c r="G472" s="6">
        <v>61</v>
      </c>
      <c r="H472" s="5" t="s">
        <v>15</v>
      </c>
      <c r="I472" s="5" t="s">
        <v>16</v>
      </c>
      <c r="J472" s="40">
        <v>45278</v>
      </c>
      <c r="K472" s="29" t="b">
        <f t="shared" si="39"/>
        <v>0</v>
      </c>
      <c r="L472" s="29" t="str">
        <f t="shared" si="41"/>
        <v>No Discount</v>
      </c>
      <c r="M472" s="18" t="str">
        <f t="shared" si="40"/>
        <v>Medium</v>
      </c>
    </row>
    <row r="473" spans="1:13" ht="15.75" thickBot="1" x14ac:dyDescent="0.3">
      <c r="A473" s="17" t="s">
        <v>958</v>
      </c>
      <c r="B473" s="11" t="s">
        <v>44</v>
      </c>
      <c r="C473" s="11" t="s">
        <v>13</v>
      </c>
      <c r="D473" s="25" t="str">
        <f t="shared" si="38"/>
        <v>Item _Unknown_ FUR</v>
      </c>
      <c r="E473" s="27">
        <f t="shared" si="37"/>
        <v>6.5</v>
      </c>
      <c r="F473" s="12">
        <v>10</v>
      </c>
      <c r="G473" s="12">
        <v>65</v>
      </c>
      <c r="H473" s="11" t="s">
        <v>27</v>
      </c>
      <c r="I473" s="11" t="s">
        <v>16</v>
      </c>
      <c r="J473" s="41">
        <v>45462</v>
      </c>
      <c r="K473" s="29" t="b">
        <f t="shared" si="39"/>
        <v>0</v>
      </c>
      <c r="L473" s="29" t="str">
        <f t="shared" si="41"/>
        <v>No Discount</v>
      </c>
      <c r="M473" s="18" t="str">
        <f t="shared" si="40"/>
        <v>Loss</v>
      </c>
    </row>
    <row r="474" spans="1:13" ht="15.75" thickBot="1" x14ac:dyDescent="0.3">
      <c r="A474" s="16" t="s">
        <v>960</v>
      </c>
      <c r="B474" s="5" t="s">
        <v>120</v>
      </c>
      <c r="C474" s="5" t="s">
        <v>25</v>
      </c>
      <c r="D474" s="25" t="str">
        <f t="shared" si="38"/>
        <v>Item _Unknown_ FOO</v>
      </c>
      <c r="E474" s="27">
        <f t="shared" si="37"/>
        <v>27.5</v>
      </c>
      <c r="F474" s="6">
        <v>2</v>
      </c>
      <c r="G474" s="6">
        <v>55</v>
      </c>
      <c r="H474" s="5" t="s">
        <v>27</v>
      </c>
      <c r="I474" s="5" t="s">
        <v>39</v>
      </c>
      <c r="J474" s="40">
        <v>45170</v>
      </c>
      <c r="K474" s="29" t="b">
        <f t="shared" si="39"/>
        <v>0</v>
      </c>
      <c r="L474" s="29" t="str">
        <f t="shared" si="41"/>
        <v>No Discount</v>
      </c>
      <c r="M474" s="18" t="str">
        <f t="shared" si="40"/>
        <v>Medium</v>
      </c>
    </row>
    <row r="475" spans="1:13" ht="15.75" thickBot="1" x14ac:dyDescent="0.3">
      <c r="A475" s="17" t="s">
        <v>961</v>
      </c>
      <c r="B475" s="11" t="s">
        <v>99</v>
      </c>
      <c r="C475" s="11" t="s">
        <v>42</v>
      </c>
      <c r="D475" s="25" t="str">
        <f t="shared" si="38"/>
        <v>Item _Unknown_ BUT</v>
      </c>
      <c r="E475" s="27">
        <f t="shared" si="37"/>
        <v>17</v>
      </c>
      <c r="F475" s="12">
        <v>9</v>
      </c>
      <c r="G475" s="12">
        <v>153</v>
      </c>
      <c r="H475" s="11" t="s">
        <v>15</v>
      </c>
      <c r="I475" s="11" t="s">
        <v>39</v>
      </c>
      <c r="J475" s="41">
        <v>45377</v>
      </c>
      <c r="K475" s="29" t="b">
        <f t="shared" si="39"/>
        <v>0</v>
      </c>
      <c r="L475" s="29" t="str">
        <f t="shared" si="41"/>
        <v>No Discount</v>
      </c>
      <c r="M475" s="18" t="str">
        <f t="shared" si="40"/>
        <v>Loss</v>
      </c>
    </row>
    <row r="476" spans="1:13" ht="15.75" thickBot="1" x14ac:dyDescent="0.3">
      <c r="A476" s="16" t="s">
        <v>963</v>
      </c>
      <c r="B476" s="5" t="s">
        <v>60</v>
      </c>
      <c r="C476" s="5" t="s">
        <v>25</v>
      </c>
      <c r="D476" s="25" t="str">
        <f t="shared" si="38"/>
        <v>Item _Unknown_ MIL</v>
      </c>
      <c r="E476" s="27">
        <f t="shared" si="37"/>
        <v>24.5</v>
      </c>
      <c r="F476" s="6">
        <v>10</v>
      </c>
      <c r="G476" s="6">
        <v>245</v>
      </c>
      <c r="H476" s="5" t="s">
        <v>15</v>
      </c>
      <c r="I476" s="5" t="s">
        <v>16</v>
      </c>
      <c r="J476" s="40">
        <v>45449</v>
      </c>
      <c r="K476" s="29" t="b">
        <f t="shared" si="39"/>
        <v>0</v>
      </c>
      <c r="L476" s="29" t="str">
        <f t="shared" si="41"/>
        <v>No Discount</v>
      </c>
      <c r="M476" s="18" t="str">
        <f t="shared" si="40"/>
        <v>Loss</v>
      </c>
    </row>
    <row r="477" spans="1:13" ht="15.75" thickBot="1" x14ac:dyDescent="0.3">
      <c r="A477" s="17" t="s">
        <v>964</v>
      </c>
      <c r="B477" s="11" t="s">
        <v>149</v>
      </c>
      <c r="C477" s="11" t="s">
        <v>42</v>
      </c>
      <c r="D477" s="25" t="str">
        <f t="shared" si="38"/>
        <v>Item _Unknown_ PAT</v>
      </c>
      <c r="E477" s="27">
        <f t="shared" si="37"/>
        <v>29</v>
      </c>
      <c r="F477" s="12">
        <v>1</v>
      </c>
      <c r="G477" s="12">
        <v>29</v>
      </c>
      <c r="H477" s="11" t="s">
        <v>51</v>
      </c>
      <c r="I477" s="11" t="s">
        <v>39</v>
      </c>
      <c r="J477" s="41">
        <v>44605</v>
      </c>
      <c r="K477" s="29" t="b">
        <f t="shared" si="39"/>
        <v>0</v>
      </c>
      <c r="L477" s="29" t="str">
        <f t="shared" si="41"/>
        <v>No Discount</v>
      </c>
      <c r="M477" s="18" t="str">
        <f t="shared" si="40"/>
        <v>Medium</v>
      </c>
    </row>
    <row r="478" spans="1:13" ht="30.75" thickBot="1" x14ac:dyDescent="0.3">
      <c r="A478" s="16" t="s">
        <v>966</v>
      </c>
      <c r="B478" s="5" t="s">
        <v>117</v>
      </c>
      <c r="C478" s="5" t="s">
        <v>75</v>
      </c>
      <c r="D478" s="25" t="str">
        <f t="shared" si="38"/>
        <v>Item _Unknown_ BEV</v>
      </c>
      <c r="E478" s="27">
        <f t="shared" si="37"/>
        <v>35</v>
      </c>
      <c r="F478" s="6">
        <v>6</v>
      </c>
      <c r="G478" s="6">
        <v>210</v>
      </c>
      <c r="H478" s="5" t="s">
        <v>51</v>
      </c>
      <c r="I478" s="5" t="s">
        <v>39</v>
      </c>
      <c r="J478" s="40">
        <v>45293</v>
      </c>
      <c r="K478" s="29" t="b">
        <f t="shared" si="39"/>
        <v>0</v>
      </c>
      <c r="L478" s="29" t="str">
        <f t="shared" si="41"/>
        <v>No Discount</v>
      </c>
      <c r="M478" s="18" t="str">
        <f t="shared" si="40"/>
        <v>High Profit</v>
      </c>
    </row>
    <row r="479" spans="1:13" ht="15.75" thickBot="1" x14ac:dyDescent="0.3">
      <c r="A479" s="17" t="s">
        <v>967</v>
      </c>
      <c r="B479" s="11" t="s">
        <v>99</v>
      </c>
      <c r="C479" s="11" t="s">
        <v>20</v>
      </c>
      <c r="D479" s="25" t="str">
        <f t="shared" si="38"/>
        <v>Item _Unknown_ FUR</v>
      </c>
      <c r="E479" s="27">
        <f t="shared" si="37"/>
        <v>20</v>
      </c>
      <c r="F479" s="12">
        <v>4</v>
      </c>
      <c r="G479" s="12">
        <v>80</v>
      </c>
      <c r="H479" s="11" t="s">
        <v>15</v>
      </c>
      <c r="I479" s="11" t="s">
        <v>16</v>
      </c>
      <c r="J479" s="41">
        <v>44703</v>
      </c>
      <c r="K479" s="29" t="b">
        <f t="shared" si="39"/>
        <v>0</v>
      </c>
      <c r="L479" s="29" t="str">
        <f t="shared" si="41"/>
        <v>No Discount</v>
      </c>
      <c r="M479" s="18" t="str">
        <f t="shared" si="40"/>
        <v>Loss</v>
      </c>
    </row>
    <row r="480" spans="1:13" ht="15.75" thickBot="1" x14ac:dyDescent="0.3">
      <c r="A480" s="16" t="s">
        <v>968</v>
      </c>
      <c r="B480" s="5" t="s">
        <v>94</v>
      </c>
      <c r="C480" s="5" t="s">
        <v>20</v>
      </c>
      <c r="D480" s="25" t="str">
        <f t="shared" si="38"/>
        <v>Item _Unknown_ BEV</v>
      </c>
      <c r="E480" s="27">
        <f t="shared" si="37"/>
        <v>23</v>
      </c>
      <c r="F480" s="6">
        <v>6</v>
      </c>
      <c r="G480" s="6">
        <v>138</v>
      </c>
      <c r="H480" s="5" t="s">
        <v>27</v>
      </c>
      <c r="I480" s="5" t="s">
        <v>16</v>
      </c>
      <c r="J480" s="40">
        <v>44816</v>
      </c>
      <c r="K480" s="29" t="b">
        <f t="shared" si="39"/>
        <v>0</v>
      </c>
      <c r="L480" s="29" t="str">
        <f t="shared" si="41"/>
        <v>No Discount</v>
      </c>
      <c r="M480" s="18" t="str">
        <f t="shared" si="40"/>
        <v>Loss</v>
      </c>
    </row>
    <row r="481" spans="1:13" ht="15.75" thickBot="1" x14ac:dyDescent="0.3">
      <c r="A481" s="17" t="s">
        <v>969</v>
      </c>
      <c r="B481" s="11" t="s">
        <v>12</v>
      </c>
      <c r="C481" s="11" t="s">
        <v>42</v>
      </c>
      <c r="D481" s="25" t="str">
        <f t="shared" si="38"/>
        <v>Item _Unknown_ FUR</v>
      </c>
      <c r="E481" s="27">
        <f t="shared" si="37"/>
        <v>20</v>
      </c>
      <c r="F481" s="12">
        <v>3</v>
      </c>
      <c r="G481" s="12">
        <v>60</v>
      </c>
      <c r="H481" s="11" t="s">
        <v>27</v>
      </c>
      <c r="I481" s="11" t="s">
        <v>16</v>
      </c>
      <c r="J481" s="41">
        <v>44719</v>
      </c>
      <c r="K481" s="29" t="b">
        <f t="shared" si="39"/>
        <v>0</v>
      </c>
      <c r="L481" s="29" t="str">
        <f t="shared" si="41"/>
        <v>No Discount</v>
      </c>
      <c r="M481" s="18" t="str">
        <f t="shared" si="40"/>
        <v>Loss</v>
      </c>
    </row>
    <row r="482" spans="1:13" ht="30.75" thickBot="1" x14ac:dyDescent="0.3">
      <c r="A482" s="16" t="s">
        <v>970</v>
      </c>
      <c r="B482" s="5" t="s">
        <v>24</v>
      </c>
      <c r="C482" s="5" t="s">
        <v>75</v>
      </c>
      <c r="D482" s="25" t="str">
        <f t="shared" si="38"/>
        <v>Item _Unknown_ ELE</v>
      </c>
      <c r="E482" s="27">
        <f t="shared" si="37"/>
        <v>9.5</v>
      </c>
      <c r="F482" s="6">
        <v>10</v>
      </c>
      <c r="G482" s="6">
        <v>95</v>
      </c>
      <c r="H482" s="5" t="s">
        <v>51</v>
      </c>
      <c r="I482" s="5" t="s">
        <v>39</v>
      </c>
      <c r="J482" s="40">
        <v>45470</v>
      </c>
      <c r="K482" s="29" t="b">
        <f t="shared" si="39"/>
        <v>0</v>
      </c>
      <c r="L482" s="29" t="str">
        <f t="shared" si="41"/>
        <v>No Discount</v>
      </c>
      <c r="M482" s="18" t="str">
        <f t="shared" si="40"/>
        <v>Loss</v>
      </c>
    </row>
    <row r="483" spans="1:13" ht="15.75" thickBot="1" x14ac:dyDescent="0.3">
      <c r="A483" s="17" t="s">
        <v>972</v>
      </c>
      <c r="B483" s="11" t="s">
        <v>106</v>
      </c>
      <c r="C483" s="11" t="s">
        <v>42</v>
      </c>
      <c r="D483" s="25" t="str">
        <f t="shared" si="38"/>
        <v>Item _Unknown_ MIL</v>
      </c>
      <c r="E483" s="27">
        <f t="shared" si="37"/>
        <v>39.5</v>
      </c>
      <c r="F483" s="12">
        <v>2</v>
      </c>
      <c r="G483" s="12">
        <v>79</v>
      </c>
      <c r="H483" s="11" t="s">
        <v>27</v>
      </c>
      <c r="I483" s="11" t="s">
        <v>16</v>
      </c>
      <c r="J483" s="41">
        <v>45165</v>
      </c>
      <c r="K483" s="29" t="b">
        <f t="shared" si="39"/>
        <v>0</v>
      </c>
      <c r="L483" s="29" t="str">
        <f t="shared" si="41"/>
        <v>No Discount</v>
      </c>
      <c r="M483" s="18" t="str">
        <f t="shared" si="40"/>
        <v>High Profit</v>
      </c>
    </row>
    <row r="484" spans="1:13" ht="30.75" thickBot="1" x14ac:dyDescent="0.3">
      <c r="A484" s="16" t="s">
        <v>974</v>
      </c>
      <c r="B484" s="5" t="s">
        <v>127</v>
      </c>
      <c r="C484" s="5" t="s">
        <v>158</v>
      </c>
      <c r="D484" s="25" t="str">
        <f t="shared" si="38"/>
        <v>Item _Unknown_ MIL</v>
      </c>
      <c r="E484" s="27">
        <f t="shared" si="37"/>
        <v>26</v>
      </c>
      <c r="F484" s="6">
        <v>3</v>
      </c>
      <c r="G484" s="6">
        <v>78</v>
      </c>
      <c r="H484" s="5" t="s">
        <v>27</v>
      </c>
      <c r="I484" s="5" t="s">
        <v>16</v>
      </c>
      <c r="J484" s="40">
        <v>45040</v>
      </c>
      <c r="K484" s="29" t="b">
        <f t="shared" si="39"/>
        <v>0</v>
      </c>
      <c r="L484" s="29" t="str">
        <f t="shared" si="41"/>
        <v>No Discount</v>
      </c>
      <c r="M484" s="18" t="str">
        <f t="shared" si="40"/>
        <v>Medium</v>
      </c>
    </row>
    <row r="485" spans="1:13" ht="15.75" thickBot="1" x14ac:dyDescent="0.3">
      <c r="A485" s="17" t="s">
        <v>975</v>
      </c>
      <c r="B485" s="11" t="s">
        <v>90</v>
      </c>
      <c r="C485" s="11" t="s">
        <v>42</v>
      </c>
      <c r="D485" s="25" t="str">
        <f t="shared" si="38"/>
        <v>Item _Unknown_ FUR</v>
      </c>
      <c r="E485" s="27">
        <f t="shared" si="37"/>
        <v>9.5</v>
      </c>
      <c r="F485" s="12">
        <v>4</v>
      </c>
      <c r="G485" s="12">
        <v>38</v>
      </c>
      <c r="H485" s="11" t="s">
        <v>51</v>
      </c>
      <c r="I485" s="11" t="s">
        <v>16</v>
      </c>
      <c r="J485" s="41">
        <v>45316</v>
      </c>
      <c r="K485" s="29" t="b">
        <f t="shared" si="39"/>
        <v>0</v>
      </c>
      <c r="L485" s="29" t="str">
        <f t="shared" si="41"/>
        <v>No Discount</v>
      </c>
      <c r="M485" s="18" t="str">
        <f t="shared" si="40"/>
        <v>Loss</v>
      </c>
    </row>
    <row r="486" spans="1:13" ht="15.75" thickBot="1" x14ac:dyDescent="0.3">
      <c r="A486" s="16" t="s">
        <v>977</v>
      </c>
      <c r="B486" s="5" t="s">
        <v>136</v>
      </c>
      <c r="C486" s="5" t="s">
        <v>25</v>
      </c>
      <c r="D486" s="25" t="str">
        <f t="shared" si="38"/>
        <v>Item _Unknown_ ELE</v>
      </c>
      <c r="E486" s="27">
        <f t="shared" si="37"/>
        <v>30.5</v>
      </c>
      <c r="F486" s="6">
        <v>10</v>
      </c>
      <c r="G486" s="6">
        <v>305</v>
      </c>
      <c r="H486" s="5" t="s">
        <v>51</v>
      </c>
      <c r="I486" s="5" t="s">
        <v>16</v>
      </c>
      <c r="J486" s="40">
        <v>44925</v>
      </c>
      <c r="K486" s="29" t="b">
        <f t="shared" si="39"/>
        <v>0</v>
      </c>
      <c r="L486" s="29" t="str">
        <f t="shared" si="41"/>
        <v>No Discount</v>
      </c>
      <c r="M486" s="18" t="str">
        <f t="shared" si="40"/>
        <v>Medium</v>
      </c>
    </row>
    <row r="487" spans="1:13" ht="15.75" thickBot="1" x14ac:dyDescent="0.3">
      <c r="A487" s="17" t="s">
        <v>980</v>
      </c>
      <c r="B487" s="11" t="s">
        <v>149</v>
      </c>
      <c r="C487" s="11" t="s">
        <v>42</v>
      </c>
      <c r="D487" s="25" t="str">
        <f t="shared" si="38"/>
        <v>Item _Unknown_ FUR</v>
      </c>
      <c r="E487" s="27">
        <f t="shared" si="37"/>
        <v>12.5</v>
      </c>
      <c r="F487" s="12">
        <v>3</v>
      </c>
      <c r="G487" s="12">
        <v>37.5</v>
      </c>
      <c r="H487" s="11" t="s">
        <v>27</v>
      </c>
      <c r="I487" s="11" t="s">
        <v>16</v>
      </c>
      <c r="J487" s="41">
        <v>44688</v>
      </c>
      <c r="K487" s="29" t="b">
        <f t="shared" si="39"/>
        <v>0</v>
      </c>
      <c r="L487" s="29" t="str">
        <f t="shared" si="41"/>
        <v>No Discount</v>
      </c>
      <c r="M487" s="18" t="str">
        <f t="shared" si="40"/>
        <v>Loss</v>
      </c>
    </row>
    <row r="488" spans="1:13" ht="15.75" thickBot="1" x14ac:dyDescent="0.3">
      <c r="A488" s="16" t="s">
        <v>981</v>
      </c>
      <c r="B488" s="5" t="s">
        <v>24</v>
      </c>
      <c r="C488" s="5" t="s">
        <v>20</v>
      </c>
      <c r="D488" s="25" t="str">
        <f t="shared" si="38"/>
        <v>Item _Unknown_ COM</v>
      </c>
      <c r="E488" s="27">
        <f t="shared" ref="E488:E551" si="42">G488/F488</f>
        <v>17</v>
      </c>
      <c r="F488" s="6">
        <v>3</v>
      </c>
      <c r="G488" s="6">
        <v>51</v>
      </c>
      <c r="H488" s="5" t="s">
        <v>51</v>
      </c>
      <c r="I488" s="5" t="s">
        <v>39</v>
      </c>
      <c r="J488" s="40">
        <v>45246</v>
      </c>
      <c r="K488" s="29" t="b">
        <f t="shared" si="39"/>
        <v>0</v>
      </c>
      <c r="L488" s="29" t="str">
        <f t="shared" si="41"/>
        <v>No Discount</v>
      </c>
      <c r="M488" s="18" t="str">
        <f t="shared" si="40"/>
        <v>Loss</v>
      </c>
    </row>
    <row r="489" spans="1:13" ht="15.75" thickBot="1" x14ac:dyDescent="0.3">
      <c r="A489" s="17" t="s">
        <v>983</v>
      </c>
      <c r="B489" s="11" t="s">
        <v>19</v>
      </c>
      <c r="C489" s="11" t="s">
        <v>25</v>
      </c>
      <c r="D489" s="25" t="str">
        <f t="shared" si="38"/>
        <v>Item _Unknown_ FUR</v>
      </c>
      <c r="E489" s="27">
        <f t="shared" si="42"/>
        <v>38</v>
      </c>
      <c r="F489" s="12">
        <v>1</v>
      </c>
      <c r="G489" s="12">
        <v>38</v>
      </c>
      <c r="H489" s="11" t="s">
        <v>15</v>
      </c>
      <c r="I489" s="11" t="s">
        <v>16</v>
      </c>
      <c r="J489" s="41">
        <v>45090</v>
      </c>
      <c r="K489" s="29" t="b">
        <f t="shared" si="39"/>
        <v>0</v>
      </c>
      <c r="L489" s="29" t="str">
        <f t="shared" si="41"/>
        <v>No Discount</v>
      </c>
      <c r="M489" s="18" t="str">
        <f t="shared" si="40"/>
        <v>High Profit</v>
      </c>
    </row>
    <row r="490" spans="1:13" ht="15.75" thickBot="1" x14ac:dyDescent="0.3">
      <c r="A490" s="16" t="s">
        <v>985</v>
      </c>
      <c r="B490" s="5" t="s">
        <v>29</v>
      </c>
      <c r="C490" s="5" t="s">
        <v>42</v>
      </c>
      <c r="D490" s="25" t="str">
        <f t="shared" ref="D490:D553" si="43">"Item _Unknown_ "&amp;UPPER(LEFT(C486,3))</f>
        <v>Item _Unknown_ BEV</v>
      </c>
      <c r="E490" s="27">
        <f t="shared" si="42"/>
        <v>38</v>
      </c>
      <c r="F490" s="6">
        <v>5</v>
      </c>
      <c r="G490" s="6">
        <v>190</v>
      </c>
      <c r="H490" s="5" t="s">
        <v>15</v>
      </c>
      <c r="I490" s="5" t="s">
        <v>39</v>
      </c>
      <c r="J490" s="40">
        <v>44979</v>
      </c>
      <c r="K490" s="29" t="b">
        <f t="shared" si="39"/>
        <v>0</v>
      </c>
      <c r="L490" s="29" t="str">
        <f t="shared" si="41"/>
        <v>No Discount</v>
      </c>
      <c r="M490" s="18" t="str">
        <f t="shared" si="40"/>
        <v>High Profit</v>
      </c>
    </row>
    <row r="491" spans="1:13" ht="15.75" thickBot="1" x14ac:dyDescent="0.3">
      <c r="A491" s="17" t="s">
        <v>987</v>
      </c>
      <c r="B491" s="11" t="s">
        <v>94</v>
      </c>
      <c r="C491" s="11" t="s">
        <v>42</v>
      </c>
      <c r="D491" s="25" t="str">
        <f t="shared" si="43"/>
        <v>Item _Unknown_ FUR</v>
      </c>
      <c r="E491" s="27">
        <f t="shared" si="42"/>
        <v>5</v>
      </c>
      <c r="F491" s="12">
        <v>6</v>
      </c>
      <c r="G491" s="12">
        <v>30</v>
      </c>
      <c r="H491" s="11" t="s">
        <v>15</v>
      </c>
      <c r="I491" s="11" t="s">
        <v>16</v>
      </c>
      <c r="J491" s="41">
        <v>45027</v>
      </c>
      <c r="K491" s="29" t="b">
        <f t="shared" si="39"/>
        <v>0</v>
      </c>
      <c r="L491" s="29" t="str">
        <f t="shared" si="41"/>
        <v>No Discount</v>
      </c>
      <c r="M491" s="18" t="str">
        <f t="shared" si="40"/>
        <v>Loss</v>
      </c>
    </row>
    <row r="492" spans="1:13" ht="15.75" thickBot="1" x14ac:dyDescent="0.3">
      <c r="A492" s="16" t="s">
        <v>988</v>
      </c>
      <c r="B492" s="5" t="s">
        <v>86</v>
      </c>
      <c r="C492" s="5" t="s">
        <v>13</v>
      </c>
      <c r="D492" s="25" t="str">
        <f t="shared" si="43"/>
        <v>Item _Unknown_ MIL</v>
      </c>
      <c r="E492" s="27">
        <f t="shared" si="42"/>
        <v>20</v>
      </c>
      <c r="F492" s="6">
        <v>8</v>
      </c>
      <c r="G492" s="6">
        <v>160</v>
      </c>
      <c r="H492" s="5" t="s">
        <v>15</v>
      </c>
      <c r="I492" s="5" t="s">
        <v>16</v>
      </c>
      <c r="J492" s="40">
        <v>44984</v>
      </c>
      <c r="K492" s="29" t="b">
        <f t="shared" si="39"/>
        <v>0</v>
      </c>
      <c r="L492" s="29" t="str">
        <f t="shared" si="41"/>
        <v>No Discount</v>
      </c>
      <c r="M492" s="18" t="str">
        <f t="shared" si="40"/>
        <v>Loss</v>
      </c>
    </row>
    <row r="493" spans="1:13" ht="15.75" thickBot="1" x14ac:dyDescent="0.3">
      <c r="A493" s="17" t="s">
        <v>989</v>
      </c>
      <c r="B493" s="11" t="s">
        <v>48</v>
      </c>
      <c r="C493" s="11" t="s">
        <v>49</v>
      </c>
      <c r="D493" s="25" t="str">
        <f t="shared" si="43"/>
        <v>Item _Unknown_ BEV</v>
      </c>
      <c r="E493" s="27">
        <f t="shared" si="42"/>
        <v>5</v>
      </c>
      <c r="F493" s="12">
        <v>3</v>
      </c>
      <c r="G493" s="12">
        <v>15</v>
      </c>
      <c r="H493" s="11" t="s">
        <v>51</v>
      </c>
      <c r="I493" s="11" t="s">
        <v>39</v>
      </c>
      <c r="J493" s="41">
        <v>44576</v>
      </c>
      <c r="K493" s="29" t="b">
        <f t="shared" si="39"/>
        <v>0</v>
      </c>
      <c r="L493" s="29" t="str">
        <f t="shared" si="41"/>
        <v>No Discount</v>
      </c>
      <c r="M493" s="18" t="str">
        <f t="shared" si="40"/>
        <v>Loss</v>
      </c>
    </row>
    <row r="494" spans="1:13" ht="30.75" thickBot="1" x14ac:dyDescent="0.3">
      <c r="A494" s="16" t="s">
        <v>991</v>
      </c>
      <c r="B494" s="5" t="s">
        <v>136</v>
      </c>
      <c r="C494" s="5" t="s">
        <v>158</v>
      </c>
      <c r="D494" s="25" t="str">
        <f t="shared" si="43"/>
        <v>Item _Unknown_ FUR</v>
      </c>
      <c r="E494" s="27">
        <f t="shared" si="42"/>
        <v>15.5</v>
      </c>
      <c r="F494" s="6">
        <v>3</v>
      </c>
      <c r="G494" s="6">
        <v>46.5</v>
      </c>
      <c r="H494" s="5" t="s">
        <v>15</v>
      </c>
      <c r="I494" s="5" t="s">
        <v>39</v>
      </c>
      <c r="J494" s="40">
        <v>45220</v>
      </c>
      <c r="K494" s="29" t="b">
        <f t="shared" si="39"/>
        <v>0</v>
      </c>
      <c r="L494" s="29" t="str">
        <f t="shared" si="41"/>
        <v>No Discount</v>
      </c>
      <c r="M494" s="18" t="str">
        <f t="shared" si="40"/>
        <v>Loss</v>
      </c>
    </row>
    <row r="495" spans="1:13" ht="15.75" thickBot="1" x14ac:dyDescent="0.3">
      <c r="A495" s="17" t="s">
        <v>993</v>
      </c>
      <c r="B495" s="11" t="s">
        <v>86</v>
      </c>
      <c r="C495" s="11" t="s">
        <v>25</v>
      </c>
      <c r="D495" s="25" t="str">
        <f t="shared" si="43"/>
        <v>Item _Unknown_ FUR</v>
      </c>
      <c r="E495" s="27">
        <f t="shared" si="42"/>
        <v>32</v>
      </c>
      <c r="F495" s="12">
        <v>8</v>
      </c>
      <c r="G495" s="12">
        <v>256</v>
      </c>
      <c r="H495" s="11" t="s">
        <v>51</v>
      </c>
      <c r="I495" s="11" t="s">
        <v>16</v>
      </c>
      <c r="J495" s="41">
        <v>45323</v>
      </c>
      <c r="K495" s="29" t="b">
        <f t="shared" si="39"/>
        <v>0</v>
      </c>
      <c r="L495" s="29" t="str">
        <f t="shared" si="41"/>
        <v>No Discount</v>
      </c>
      <c r="M495" s="18" t="str">
        <f t="shared" si="40"/>
        <v>Medium</v>
      </c>
    </row>
    <row r="496" spans="1:13" ht="30.75" thickBot="1" x14ac:dyDescent="0.3">
      <c r="A496" s="16" t="s">
        <v>994</v>
      </c>
      <c r="B496" s="5" t="s">
        <v>44</v>
      </c>
      <c r="C496" s="5" t="s">
        <v>158</v>
      </c>
      <c r="D496" s="25" t="str">
        <f t="shared" si="43"/>
        <v>Item _Unknown_ PAT</v>
      </c>
      <c r="E496" s="27">
        <f t="shared" si="42"/>
        <v>32</v>
      </c>
      <c r="F496" s="6">
        <v>7</v>
      </c>
      <c r="G496" s="6">
        <v>224</v>
      </c>
      <c r="H496" s="5" t="s">
        <v>15</v>
      </c>
      <c r="I496" s="5" t="s">
        <v>39</v>
      </c>
      <c r="J496" s="40">
        <v>44674</v>
      </c>
      <c r="K496" s="29" t="b">
        <f t="shared" si="39"/>
        <v>0</v>
      </c>
      <c r="L496" s="29" t="str">
        <f t="shared" si="41"/>
        <v>No Discount</v>
      </c>
      <c r="M496" s="18" t="str">
        <f t="shared" si="40"/>
        <v>Medium</v>
      </c>
    </row>
    <row r="497" spans="1:13" ht="30.75" thickBot="1" x14ac:dyDescent="0.3">
      <c r="A497" s="17" t="s">
        <v>996</v>
      </c>
      <c r="B497" s="11" t="s">
        <v>117</v>
      </c>
      <c r="C497" s="11" t="s">
        <v>75</v>
      </c>
      <c r="D497" s="25" t="str">
        <f t="shared" si="43"/>
        <v>Item _Unknown_ BUT</v>
      </c>
      <c r="E497" s="27">
        <f t="shared" si="42"/>
        <v>15.5</v>
      </c>
      <c r="F497" s="12">
        <v>7</v>
      </c>
      <c r="G497" s="12">
        <v>108.5</v>
      </c>
      <c r="H497" s="11" t="s">
        <v>15</v>
      </c>
      <c r="I497" s="11" t="s">
        <v>16</v>
      </c>
      <c r="J497" s="41">
        <v>44729</v>
      </c>
      <c r="K497" s="29" t="b">
        <f t="shared" si="39"/>
        <v>0</v>
      </c>
      <c r="L497" s="29" t="str">
        <f t="shared" si="41"/>
        <v>No Discount</v>
      </c>
      <c r="M497" s="18" t="str">
        <f t="shared" si="40"/>
        <v>Loss</v>
      </c>
    </row>
    <row r="498" spans="1:13" ht="15.75" thickBot="1" x14ac:dyDescent="0.3">
      <c r="A498" s="16" t="s">
        <v>998</v>
      </c>
      <c r="B498" s="5" t="s">
        <v>130</v>
      </c>
      <c r="C498" s="5" t="s">
        <v>25</v>
      </c>
      <c r="D498" s="25" t="str">
        <f t="shared" si="43"/>
        <v>Item _Unknown_ COM</v>
      </c>
      <c r="E498" s="27">
        <f t="shared" si="42"/>
        <v>36.5</v>
      </c>
      <c r="F498" s="6">
        <v>5</v>
      </c>
      <c r="G498" s="6">
        <v>182.5</v>
      </c>
      <c r="H498" s="5" t="s">
        <v>15</v>
      </c>
      <c r="I498" s="5" t="s">
        <v>39</v>
      </c>
      <c r="J498" s="40">
        <v>44570</v>
      </c>
      <c r="K498" s="29" t="b">
        <f t="shared" si="39"/>
        <v>0</v>
      </c>
      <c r="L498" s="29" t="str">
        <f t="shared" si="41"/>
        <v>No Discount</v>
      </c>
      <c r="M498" s="18" t="str">
        <f t="shared" si="40"/>
        <v>High Profit</v>
      </c>
    </row>
    <row r="499" spans="1:13" ht="15.75" thickBot="1" x14ac:dyDescent="0.3">
      <c r="A499" s="17" t="s">
        <v>999</v>
      </c>
      <c r="B499" s="11" t="s">
        <v>60</v>
      </c>
      <c r="C499" s="11" t="s">
        <v>42</v>
      </c>
      <c r="D499" s="25" t="str">
        <f t="shared" si="43"/>
        <v>Item _Unknown_ BEV</v>
      </c>
      <c r="E499" s="27">
        <f t="shared" si="42"/>
        <v>15.5</v>
      </c>
      <c r="F499" s="12">
        <v>2</v>
      </c>
      <c r="G499" s="12">
        <v>31</v>
      </c>
      <c r="H499" s="11" t="s">
        <v>27</v>
      </c>
      <c r="I499" s="11" t="s">
        <v>39</v>
      </c>
      <c r="J499" s="41">
        <v>45126</v>
      </c>
      <c r="K499" s="29" t="b">
        <f t="shared" si="39"/>
        <v>0</v>
      </c>
      <c r="L499" s="29" t="str">
        <f t="shared" si="41"/>
        <v>No Discount</v>
      </c>
      <c r="M499" s="18" t="str">
        <f t="shared" si="40"/>
        <v>Loss</v>
      </c>
    </row>
    <row r="500" spans="1:13" ht="15.75" thickBot="1" x14ac:dyDescent="0.3">
      <c r="A500" s="16" t="s">
        <v>1000</v>
      </c>
      <c r="B500" s="5" t="s">
        <v>136</v>
      </c>
      <c r="C500" s="5" t="s">
        <v>30</v>
      </c>
      <c r="D500" s="25" t="str">
        <f t="shared" si="43"/>
        <v>Item _Unknown_ COM</v>
      </c>
      <c r="E500" s="27">
        <f t="shared" si="42"/>
        <v>21.5</v>
      </c>
      <c r="F500" s="6">
        <v>10</v>
      </c>
      <c r="G500" s="6">
        <v>215</v>
      </c>
      <c r="H500" s="5" t="s">
        <v>51</v>
      </c>
      <c r="I500" s="5" t="s">
        <v>39</v>
      </c>
      <c r="J500" s="40">
        <v>45422</v>
      </c>
      <c r="K500" s="29" t="b">
        <f t="shared" si="39"/>
        <v>0</v>
      </c>
      <c r="L500" s="29" t="str">
        <f t="shared" si="41"/>
        <v>No Discount</v>
      </c>
      <c r="M500" s="18" t="str">
        <f t="shared" si="40"/>
        <v>Loss</v>
      </c>
    </row>
    <row r="501" spans="1:13" ht="15.75" thickBot="1" x14ac:dyDescent="0.3">
      <c r="A501" s="17" t="s">
        <v>1001</v>
      </c>
      <c r="B501" s="11" t="s">
        <v>120</v>
      </c>
      <c r="C501" s="11" t="s">
        <v>42</v>
      </c>
      <c r="D501" s="25" t="str">
        <f t="shared" si="43"/>
        <v>Item _Unknown_ ELE</v>
      </c>
      <c r="E501" s="27">
        <f t="shared" si="42"/>
        <v>11</v>
      </c>
      <c r="F501" s="12">
        <v>3</v>
      </c>
      <c r="G501" s="12">
        <v>33</v>
      </c>
      <c r="H501" s="11" t="s">
        <v>15</v>
      </c>
      <c r="I501" s="11" t="s">
        <v>39</v>
      </c>
      <c r="J501" s="41">
        <v>44907</v>
      </c>
      <c r="K501" s="29" t="b">
        <f t="shared" si="39"/>
        <v>0</v>
      </c>
      <c r="L501" s="29" t="str">
        <f t="shared" si="41"/>
        <v>No Discount</v>
      </c>
      <c r="M501" s="18" t="str">
        <f t="shared" si="40"/>
        <v>Loss</v>
      </c>
    </row>
    <row r="502" spans="1:13" ht="30.75" thickBot="1" x14ac:dyDescent="0.3">
      <c r="A502" s="16" t="s">
        <v>1002</v>
      </c>
      <c r="B502" s="5" t="s">
        <v>60</v>
      </c>
      <c r="C502" s="5" t="s">
        <v>158</v>
      </c>
      <c r="D502" s="25" t="str">
        <f t="shared" si="43"/>
        <v>Item _Unknown_ BEV</v>
      </c>
      <c r="E502" s="27">
        <f t="shared" si="42"/>
        <v>38</v>
      </c>
      <c r="F502" s="6">
        <v>4</v>
      </c>
      <c r="G502" s="6">
        <v>152</v>
      </c>
      <c r="H502" s="5" t="s">
        <v>27</v>
      </c>
      <c r="I502" s="5" t="s">
        <v>16</v>
      </c>
      <c r="J502" s="40">
        <v>45669</v>
      </c>
      <c r="K502" s="29" t="b">
        <f t="shared" si="39"/>
        <v>0</v>
      </c>
      <c r="L502" s="29" t="str">
        <f t="shared" si="41"/>
        <v>No Discount</v>
      </c>
      <c r="M502" s="18" t="str">
        <f t="shared" si="40"/>
        <v>High Profit</v>
      </c>
    </row>
    <row r="503" spans="1:13" ht="15.75" thickBot="1" x14ac:dyDescent="0.3">
      <c r="A503" s="17" t="s">
        <v>1004</v>
      </c>
      <c r="B503" s="11" t="s">
        <v>41</v>
      </c>
      <c r="C503" s="11" t="s">
        <v>42</v>
      </c>
      <c r="D503" s="25" t="str">
        <f t="shared" si="43"/>
        <v>Item _Unknown_ FUR</v>
      </c>
      <c r="E503" s="27">
        <f t="shared" si="42"/>
        <v>5</v>
      </c>
      <c r="F503" s="12">
        <v>10</v>
      </c>
      <c r="G503" s="12">
        <v>50</v>
      </c>
      <c r="H503" s="11" t="s">
        <v>15</v>
      </c>
      <c r="I503" s="11" t="s">
        <v>39</v>
      </c>
      <c r="J503" s="41">
        <v>44658</v>
      </c>
      <c r="K503" s="29" t="b">
        <f t="shared" si="39"/>
        <v>0</v>
      </c>
      <c r="L503" s="29" t="str">
        <f t="shared" si="41"/>
        <v>No Discount</v>
      </c>
      <c r="M503" s="18" t="str">
        <f t="shared" si="40"/>
        <v>Loss</v>
      </c>
    </row>
    <row r="504" spans="1:13" ht="15.75" thickBot="1" x14ac:dyDescent="0.3">
      <c r="A504" s="16" t="s">
        <v>1005</v>
      </c>
      <c r="B504" s="5" t="s">
        <v>117</v>
      </c>
      <c r="C504" s="5" t="s">
        <v>49</v>
      </c>
      <c r="D504" s="25" t="str">
        <f t="shared" si="43"/>
        <v>Item _Unknown_ FOO</v>
      </c>
      <c r="E504" s="27">
        <f t="shared" si="42"/>
        <v>23</v>
      </c>
      <c r="F504" s="6">
        <v>10</v>
      </c>
      <c r="G504" s="6">
        <v>230</v>
      </c>
      <c r="H504" s="5" t="s">
        <v>15</v>
      </c>
      <c r="I504" s="5" t="s">
        <v>39</v>
      </c>
      <c r="J504" s="40">
        <v>44936</v>
      </c>
      <c r="K504" s="29" t="b">
        <f t="shared" si="39"/>
        <v>0</v>
      </c>
      <c r="L504" s="29" t="str">
        <f t="shared" si="41"/>
        <v>No Discount</v>
      </c>
      <c r="M504" s="18" t="str">
        <f t="shared" si="40"/>
        <v>Loss</v>
      </c>
    </row>
    <row r="505" spans="1:13" ht="30.75" thickBot="1" x14ac:dyDescent="0.3">
      <c r="A505" s="17" t="s">
        <v>1006</v>
      </c>
      <c r="B505" s="11" t="s">
        <v>140</v>
      </c>
      <c r="C505" s="11" t="s">
        <v>75</v>
      </c>
      <c r="D505" s="25" t="str">
        <f t="shared" si="43"/>
        <v>Item _Unknown_ FUR</v>
      </c>
      <c r="E505" s="27">
        <f t="shared" si="42"/>
        <v>39.5</v>
      </c>
      <c r="F505" s="12">
        <v>7</v>
      </c>
      <c r="G505" s="12">
        <v>276.5</v>
      </c>
      <c r="H505" s="11" t="s">
        <v>51</v>
      </c>
      <c r="I505" s="11" t="s">
        <v>16</v>
      </c>
      <c r="J505" s="41">
        <v>45606</v>
      </c>
      <c r="K505" s="29" t="b">
        <f t="shared" si="39"/>
        <v>0</v>
      </c>
      <c r="L505" s="29" t="str">
        <f t="shared" si="41"/>
        <v>No Discount</v>
      </c>
      <c r="M505" s="18" t="str">
        <f t="shared" si="40"/>
        <v>High Profit</v>
      </c>
    </row>
    <row r="506" spans="1:13" ht="15.75" thickBot="1" x14ac:dyDescent="0.3">
      <c r="A506" s="16" t="s">
        <v>1008</v>
      </c>
      <c r="B506" s="5" t="s">
        <v>12</v>
      </c>
      <c r="C506" s="5" t="s">
        <v>13</v>
      </c>
      <c r="D506" s="25" t="str">
        <f t="shared" si="43"/>
        <v>Item _Unknown_ COM</v>
      </c>
      <c r="E506" s="27">
        <f t="shared" si="42"/>
        <v>27.5</v>
      </c>
      <c r="F506" s="6">
        <v>9</v>
      </c>
      <c r="G506" s="6">
        <v>247.5</v>
      </c>
      <c r="H506" s="5" t="s">
        <v>15</v>
      </c>
      <c r="I506" s="5" t="s">
        <v>16</v>
      </c>
      <c r="J506" s="40">
        <v>44722</v>
      </c>
      <c r="K506" s="29" t="b">
        <f t="shared" si="39"/>
        <v>0</v>
      </c>
      <c r="L506" s="29" t="str">
        <f t="shared" si="41"/>
        <v>No Discount</v>
      </c>
      <c r="M506" s="18" t="str">
        <f t="shared" si="40"/>
        <v>Medium</v>
      </c>
    </row>
    <row r="507" spans="1:13" ht="30.75" thickBot="1" x14ac:dyDescent="0.3">
      <c r="A507" s="17" t="s">
        <v>1009</v>
      </c>
      <c r="B507" s="11" t="s">
        <v>74</v>
      </c>
      <c r="C507" s="11" t="s">
        <v>158</v>
      </c>
      <c r="D507" s="25" t="str">
        <f t="shared" si="43"/>
        <v>Item _Unknown_ FUR</v>
      </c>
      <c r="E507" s="27">
        <f t="shared" si="42"/>
        <v>21.5</v>
      </c>
      <c r="F507" s="12">
        <v>9</v>
      </c>
      <c r="G507" s="12">
        <v>193.5</v>
      </c>
      <c r="H507" s="11" t="s">
        <v>15</v>
      </c>
      <c r="I507" s="11" t="s">
        <v>16</v>
      </c>
      <c r="J507" s="41">
        <v>44932</v>
      </c>
      <c r="K507" s="29" t="b">
        <f t="shared" si="39"/>
        <v>0</v>
      </c>
      <c r="L507" s="29" t="str">
        <f t="shared" si="41"/>
        <v>No Discount</v>
      </c>
      <c r="M507" s="18" t="str">
        <f t="shared" si="40"/>
        <v>Loss</v>
      </c>
    </row>
    <row r="508" spans="1:13" ht="15.75" thickBot="1" x14ac:dyDescent="0.3">
      <c r="A508" s="16" t="s">
        <v>1010</v>
      </c>
      <c r="B508" s="5" t="s">
        <v>71</v>
      </c>
      <c r="C508" s="5" t="s">
        <v>49</v>
      </c>
      <c r="D508" s="25" t="str">
        <f t="shared" si="43"/>
        <v>Item _Unknown_ BUT</v>
      </c>
      <c r="E508" s="27">
        <f t="shared" si="42"/>
        <v>30.5</v>
      </c>
      <c r="F508" s="6">
        <v>6</v>
      </c>
      <c r="G508" s="6">
        <v>183</v>
      </c>
      <c r="H508" s="5" t="s">
        <v>15</v>
      </c>
      <c r="I508" s="5" t="s">
        <v>39</v>
      </c>
      <c r="J508" s="40">
        <v>45420</v>
      </c>
      <c r="K508" s="29" t="b">
        <f t="shared" si="39"/>
        <v>0</v>
      </c>
      <c r="L508" s="29" t="str">
        <f t="shared" si="41"/>
        <v>No Discount</v>
      </c>
      <c r="M508" s="18" t="str">
        <f t="shared" si="40"/>
        <v>Medium</v>
      </c>
    </row>
    <row r="509" spans="1:13" ht="15.75" thickBot="1" x14ac:dyDescent="0.3">
      <c r="A509" s="17" t="s">
        <v>1011</v>
      </c>
      <c r="B509" s="11" t="s">
        <v>99</v>
      </c>
      <c r="C509" s="11" t="s">
        <v>42</v>
      </c>
      <c r="D509" s="25" t="str">
        <f t="shared" si="43"/>
        <v>Item _Unknown_ ELE</v>
      </c>
      <c r="E509" s="27">
        <f t="shared" si="42"/>
        <v>27.5</v>
      </c>
      <c r="F509" s="12">
        <v>10</v>
      </c>
      <c r="G509" s="12">
        <v>275</v>
      </c>
      <c r="H509" s="11" t="s">
        <v>51</v>
      </c>
      <c r="I509" s="11" t="s">
        <v>39</v>
      </c>
      <c r="J509" s="41">
        <v>45508</v>
      </c>
      <c r="K509" s="29" t="b">
        <f t="shared" si="39"/>
        <v>0</v>
      </c>
      <c r="L509" s="29" t="str">
        <f t="shared" si="41"/>
        <v>No Discount</v>
      </c>
      <c r="M509" s="18" t="str">
        <f t="shared" si="40"/>
        <v>Medium</v>
      </c>
    </row>
    <row r="510" spans="1:13" ht="15.75" thickBot="1" x14ac:dyDescent="0.3">
      <c r="A510" s="16" t="s">
        <v>1012</v>
      </c>
      <c r="B510" s="5" t="s">
        <v>12</v>
      </c>
      <c r="C510" s="5" t="s">
        <v>13</v>
      </c>
      <c r="D510" s="25" t="str">
        <f t="shared" si="43"/>
        <v>Item _Unknown_ PAT</v>
      </c>
      <c r="E510" s="27">
        <f t="shared" si="42"/>
        <v>15.5</v>
      </c>
      <c r="F510" s="6">
        <v>2</v>
      </c>
      <c r="G510" s="6">
        <v>31</v>
      </c>
      <c r="H510" s="5" t="s">
        <v>27</v>
      </c>
      <c r="I510" s="5" t="s">
        <v>16</v>
      </c>
      <c r="J510" s="40">
        <v>44622</v>
      </c>
      <c r="K510" s="29" t="b">
        <f t="shared" si="39"/>
        <v>0</v>
      </c>
      <c r="L510" s="29" t="str">
        <f t="shared" si="41"/>
        <v>No Discount</v>
      </c>
      <c r="M510" s="18" t="str">
        <f t="shared" si="40"/>
        <v>Loss</v>
      </c>
    </row>
    <row r="511" spans="1:13" ht="15.75" thickBot="1" x14ac:dyDescent="0.3">
      <c r="A511" s="17" t="s">
        <v>1013</v>
      </c>
      <c r="B511" s="11" t="s">
        <v>90</v>
      </c>
      <c r="C511" s="11" t="s">
        <v>20</v>
      </c>
      <c r="D511" s="25" t="str">
        <f t="shared" si="43"/>
        <v>Item _Unknown_ COM</v>
      </c>
      <c r="E511" s="27">
        <f t="shared" si="42"/>
        <v>15.5</v>
      </c>
      <c r="F511" s="12">
        <v>2</v>
      </c>
      <c r="G511" s="12">
        <v>31</v>
      </c>
      <c r="H511" s="11" t="s">
        <v>15</v>
      </c>
      <c r="I511" s="11" t="s">
        <v>16</v>
      </c>
      <c r="J511" s="41">
        <v>44740</v>
      </c>
      <c r="K511" s="29" t="b">
        <f t="shared" si="39"/>
        <v>0</v>
      </c>
      <c r="L511" s="29" t="str">
        <f t="shared" si="41"/>
        <v>No Discount</v>
      </c>
      <c r="M511" s="18" t="str">
        <f t="shared" si="40"/>
        <v>Loss</v>
      </c>
    </row>
    <row r="512" spans="1:13" ht="15.75" thickBot="1" x14ac:dyDescent="0.3">
      <c r="A512" s="16" t="s">
        <v>1014</v>
      </c>
      <c r="B512" s="5" t="s">
        <v>206</v>
      </c>
      <c r="C512" s="5" t="s">
        <v>30</v>
      </c>
      <c r="D512" s="25" t="str">
        <f t="shared" si="43"/>
        <v>Item _Unknown_ BUT</v>
      </c>
      <c r="E512" s="27">
        <f t="shared" si="42"/>
        <v>6.5</v>
      </c>
      <c r="F512" s="6">
        <v>4</v>
      </c>
      <c r="G512" s="6">
        <v>26</v>
      </c>
      <c r="H512" s="5" t="s">
        <v>27</v>
      </c>
      <c r="I512" s="5" t="s">
        <v>39</v>
      </c>
      <c r="J512" s="40">
        <v>45359</v>
      </c>
      <c r="K512" s="29" t="b">
        <f t="shared" si="39"/>
        <v>0</v>
      </c>
      <c r="L512" s="29" t="str">
        <f t="shared" si="41"/>
        <v>No Discount</v>
      </c>
      <c r="M512" s="18" t="str">
        <f t="shared" si="40"/>
        <v>Loss</v>
      </c>
    </row>
    <row r="513" spans="1:13" ht="15.75" thickBot="1" x14ac:dyDescent="0.3">
      <c r="A513" s="17" t="s">
        <v>1015</v>
      </c>
      <c r="B513" s="11" t="s">
        <v>120</v>
      </c>
      <c r="C513" s="11" t="s">
        <v>42</v>
      </c>
      <c r="D513" s="25" t="str">
        <f t="shared" si="43"/>
        <v>Item _Unknown_ FUR</v>
      </c>
      <c r="E513" s="27">
        <f t="shared" si="42"/>
        <v>38</v>
      </c>
      <c r="F513" s="12">
        <v>2</v>
      </c>
      <c r="G513" s="12">
        <v>76</v>
      </c>
      <c r="H513" s="11" t="s">
        <v>27</v>
      </c>
      <c r="I513" s="11" t="s">
        <v>16</v>
      </c>
      <c r="J513" s="41">
        <v>44724</v>
      </c>
      <c r="K513" s="29" t="b">
        <f t="shared" si="39"/>
        <v>0</v>
      </c>
      <c r="L513" s="29" t="str">
        <f t="shared" si="41"/>
        <v>No Discount</v>
      </c>
      <c r="M513" s="18" t="str">
        <f t="shared" si="40"/>
        <v>High Profit</v>
      </c>
    </row>
    <row r="514" spans="1:13" ht="15.75" thickBot="1" x14ac:dyDescent="0.3">
      <c r="A514" s="16" t="s">
        <v>1016</v>
      </c>
      <c r="B514" s="5" t="s">
        <v>12</v>
      </c>
      <c r="C514" s="5" t="s">
        <v>20</v>
      </c>
      <c r="D514" s="25" t="str">
        <f t="shared" si="43"/>
        <v>Item _Unknown_ PAT</v>
      </c>
      <c r="E514" s="27">
        <f t="shared" si="42"/>
        <v>23</v>
      </c>
      <c r="F514" s="6">
        <v>10</v>
      </c>
      <c r="G514" s="6">
        <v>230</v>
      </c>
      <c r="H514" s="5" t="s">
        <v>15</v>
      </c>
      <c r="I514" s="5" t="s">
        <v>16</v>
      </c>
      <c r="J514" s="40">
        <v>45263</v>
      </c>
      <c r="K514" s="29" t="b">
        <f t="shared" ref="K514:K577" si="44">IF(ROUND(E514*F514,2)=G514,FALSE,TRUE)</f>
        <v>0</v>
      </c>
      <c r="L514" s="29" t="str">
        <f t="shared" si="41"/>
        <v>No Discount</v>
      </c>
      <c r="M514" s="18" t="str">
        <f t="shared" ref="M514:M578" si="45">IF(E514&gt;=35,"High Profit",IF(E514&gt;=25,"Medium","Loss"))</f>
        <v>Loss</v>
      </c>
    </row>
    <row r="515" spans="1:13" ht="15.75" thickBot="1" x14ac:dyDescent="0.3">
      <c r="A515" s="17" t="s">
        <v>1017</v>
      </c>
      <c r="B515" s="11" t="s">
        <v>41</v>
      </c>
      <c r="C515" s="11" t="s">
        <v>49</v>
      </c>
      <c r="D515" s="25" t="str">
        <f t="shared" si="43"/>
        <v>Item _Unknown_ MIL</v>
      </c>
      <c r="E515" s="27">
        <f t="shared" si="42"/>
        <v>30.5</v>
      </c>
      <c r="F515" s="12">
        <v>9</v>
      </c>
      <c r="G515" s="12">
        <v>274.5</v>
      </c>
      <c r="H515" s="11" t="s">
        <v>27</v>
      </c>
      <c r="I515" s="11" t="s">
        <v>39</v>
      </c>
      <c r="J515" s="41">
        <v>44725</v>
      </c>
      <c r="K515" s="29" t="b">
        <f t="shared" si="44"/>
        <v>0</v>
      </c>
      <c r="L515" s="29" t="str">
        <f t="shared" ref="L515:L578" si="46">IF(K515=FALSE,"No Discount","Discount Applied")</f>
        <v>No Discount</v>
      </c>
      <c r="M515" s="18" t="str">
        <f t="shared" si="45"/>
        <v>Medium</v>
      </c>
    </row>
    <row r="516" spans="1:13" ht="15.75" thickBot="1" x14ac:dyDescent="0.3">
      <c r="A516" s="16" t="s">
        <v>1019</v>
      </c>
      <c r="B516" s="5" t="s">
        <v>106</v>
      </c>
      <c r="C516" s="5" t="s">
        <v>13</v>
      </c>
      <c r="D516" s="25" t="str">
        <f t="shared" si="43"/>
        <v>Item _Unknown_ FOO</v>
      </c>
      <c r="E516" s="27">
        <f t="shared" si="42"/>
        <v>15.5</v>
      </c>
      <c r="F516" s="6">
        <v>6</v>
      </c>
      <c r="G516" s="6">
        <v>93</v>
      </c>
      <c r="H516" s="5" t="s">
        <v>27</v>
      </c>
      <c r="I516" s="5" t="s">
        <v>16</v>
      </c>
      <c r="J516" s="40">
        <v>45148</v>
      </c>
      <c r="K516" s="29" t="b">
        <f t="shared" si="44"/>
        <v>0</v>
      </c>
      <c r="L516" s="29" t="str">
        <f t="shared" si="46"/>
        <v>No Discount</v>
      </c>
      <c r="M516" s="18" t="str">
        <f t="shared" si="45"/>
        <v>Loss</v>
      </c>
    </row>
    <row r="517" spans="1:13" ht="30.75" thickBot="1" x14ac:dyDescent="0.3">
      <c r="A517" s="17" t="s">
        <v>1020</v>
      </c>
      <c r="B517" s="11" t="s">
        <v>106</v>
      </c>
      <c r="C517" s="11" t="s">
        <v>75</v>
      </c>
      <c r="D517" s="25" t="str">
        <f t="shared" si="43"/>
        <v>Item _Unknown_ FUR</v>
      </c>
      <c r="E517" s="27">
        <f t="shared" si="42"/>
        <v>6.5</v>
      </c>
      <c r="F517" s="12">
        <v>10</v>
      </c>
      <c r="G517" s="12">
        <v>65</v>
      </c>
      <c r="H517" s="11" t="s">
        <v>27</v>
      </c>
      <c r="I517" s="11" t="s">
        <v>39</v>
      </c>
      <c r="J517" s="41">
        <v>45232</v>
      </c>
      <c r="K517" s="29" t="b">
        <f t="shared" si="44"/>
        <v>0</v>
      </c>
      <c r="L517" s="29" t="str">
        <f t="shared" si="46"/>
        <v>No Discount</v>
      </c>
      <c r="M517" s="18" t="str">
        <f t="shared" si="45"/>
        <v>Loss</v>
      </c>
    </row>
    <row r="518" spans="1:13" ht="15.75" thickBot="1" x14ac:dyDescent="0.3">
      <c r="A518" s="16" t="s">
        <v>1022</v>
      </c>
      <c r="B518" s="5" t="s">
        <v>106</v>
      </c>
      <c r="C518" s="5" t="s">
        <v>13</v>
      </c>
      <c r="D518" s="25" t="str">
        <f t="shared" si="43"/>
        <v>Item _Unknown_ MIL</v>
      </c>
      <c r="E518" s="27">
        <f t="shared" si="42"/>
        <v>23</v>
      </c>
      <c r="F518" s="6">
        <v>3</v>
      </c>
      <c r="G518" s="6">
        <v>69</v>
      </c>
      <c r="H518" s="5" t="s">
        <v>51</v>
      </c>
      <c r="I518" s="5" t="s">
        <v>39</v>
      </c>
      <c r="J518" s="40">
        <v>44786</v>
      </c>
      <c r="K518" s="29" t="b">
        <f t="shared" si="44"/>
        <v>0</v>
      </c>
      <c r="L518" s="29" t="str">
        <f t="shared" si="46"/>
        <v>No Discount</v>
      </c>
      <c r="M518" s="18" t="str">
        <f t="shared" si="45"/>
        <v>Loss</v>
      </c>
    </row>
    <row r="519" spans="1:13" ht="30.75" thickBot="1" x14ac:dyDescent="0.3">
      <c r="A519" s="17" t="s">
        <v>1023</v>
      </c>
      <c r="B519" s="11" t="s">
        <v>12</v>
      </c>
      <c r="C519" s="11" t="s">
        <v>158</v>
      </c>
      <c r="D519" s="25" t="str">
        <f t="shared" si="43"/>
        <v>Item _Unknown_ BUT</v>
      </c>
      <c r="E519" s="27">
        <f t="shared" si="42"/>
        <v>21.5</v>
      </c>
      <c r="F519" s="12">
        <v>1</v>
      </c>
      <c r="G519" s="12">
        <v>21.5</v>
      </c>
      <c r="H519" s="11" t="s">
        <v>51</v>
      </c>
      <c r="I519" s="11" t="s">
        <v>39</v>
      </c>
      <c r="J519" s="41">
        <v>45250</v>
      </c>
      <c r="K519" s="29" t="b">
        <f t="shared" si="44"/>
        <v>0</v>
      </c>
      <c r="L519" s="29" t="str">
        <f t="shared" si="46"/>
        <v>No Discount</v>
      </c>
      <c r="M519" s="18" t="str">
        <f t="shared" si="45"/>
        <v>Loss</v>
      </c>
    </row>
    <row r="520" spans="1:13" ht="30.75" thickBot="1" x14ac:dyDescent="0.3">
      <c r="A520" s="16" t="s">
        <v>1025</v>
      </c>
      <c r="B520" s="5" t="s">
        <v>44</v>
      </c>
      <c r="C520" s="5" t="s">
        <v>158</v>
      </c>
      <c r="D520" s="25" t="str">
        <f t="shared" si="43"/>
        <v>Item _Unknown_ PAT</v>
      </c>
      <c r="E520" s="27">
        <f t="shared" si="42"/>
        <v>14</v>
      </c>
      <c r="F520" s="6">
        <v>7</v>
      </c>
      <c r="G520" s="6">
        <v>98</v>
      </c>
      <c r="H520" s="5" t="s">
        <v>51</v>
      </c>
      <c r="I520" s="5" t="s">
        <v>39</v>
      </c>
      <c r="J520" s="40">
        <v>45479</v>
      </c>
      <c r="K520" s="29" t="b">
        <f t="shared" si="44"/>
        <v>0</v>
      </c>
      <c r="L520" s="29" t="str">
        <f t="shared" si="46"/>
        <v>No Discount</v>
      </c>
      <c r="M520" s="18" t="str">
        <f t="shared" si="45"/>
        <v>Loss</v>
      </c>
    </row>
    <row r="521" spans="1:13" ht="30.75" thickBot="1" x14ac:dyDescent="0.3">
      <c r="A521" s="17" t="s">
        <v>1026</v>
      </c>
      <c r="B521" s="11" t="s">
        <v>106</v>
      </c>
      <c r="C521" s="11" t="s">
        <v>75</v>
      </c>
      <c r="D521" s="25" t="str">
        <f t="shared" si="43"/>
        <v>Item _Unknown_ ELE</v>
      </c>
      <c r="E521" s="27">
        <f t="shared" si="42"/>
        <v>15.5</v>
      </c>
      <c r="F521" s="12">
        <v>5</v>
      </c>
      <c r="G521" s="12">
        <v>77.5</v>
      </c>
      <c r="H521" s="11" t="s">
        <v>15</v>
      </c>
      <c r="I521" s="11" t="s">
        <v>16</v>
      </c>
      <c r="J521" s="41">
        <v>45413</v>
      </c>
      <c r="K521" s="29" t="b">
        <f t="shared" si="44"/>
        <v>0</v>
      </c>
      <c r="L521" s="29" t="str">
        <f t="shared" si="46"/>
        <v>No Discount</v>
      </c>
      <c r="M521" s="18" t="str">
        <f t="shared" si="45"/>
        <v>Loss</v>
      </c>
    </row>
    <row r="522" spans="1:13" ht="30.75" thickBot="1" x14ac:dyDescent="0.3">
      <c r="A522" s="16" t="s">
        <v>1027</v>
      </c>
      <c r="B522" s="5" t="s">
        <v>106</v>
      </c>
      <c r="C522" s="5" t="s">
        <v>158</v>
      </c>
      <c r="D522" s="25" t="str">
        <f t="shared" si="43"/>
        <v>Item _Unknown_ PAT</v>
      </c>
      <c r="E522" s="27">
        <f t="shared" si="42"/>
        <v>35</v>
      </c>
      <c r="F522" s="6">
        <v>8</v>
      </c>
      <c r="G522" s="6">
        <v>280</v>
      </c>
      <c r="H522" s="5" t="s">
        <v>27</v>
      </c>
      <c r="I522" s="5" t="s">
        <v>16</v>
      </c>
      <c r="J522" s="40">
        <v>45636</v>
      </c>
      <c r="K522" s="29" t="b">
        <f t="shared" si="44"/>
        <v>0</v>
      </c>
      <c r="L522" s="29" t="str">
        <f t="shared" si="46"/>
        <v>No Discount</v>
      </c>
      <c r="M522" s="18" t="str">
        <f t="shared" si="45"/>
        <v>High Profit</v>
      </c>
    </row>
    <row r="523" spans="1:13" ht="15.75" thickBot="1" x14ac:dyDescent="0.3">
      <c r="A523" s="17" t="s">
        <v>1028</v>
      </c>
      <c r="B523" s="11" t="s">
        <v>120</v>
      </c>
      <c r="C523" s="11" t="s">
        <v>25</v>
      </c>
      <c r="D523" s="25" t="str">
        <f t="shared" si="43"/>
        <v>Item _Unknown_ COM</v>
      </c>
      <c r="E523" s="27">
        <f t="shared" si="42"/>
        <v>21.5</v>
      </c>
      <c r="F523" s="12">
        <v>5</v>
      </c>
      <c r="G523" s="12">
        <v>107.5</v>
      </c>
      <c r="H523" s="11" t="s">
        <v>27</v>
      </c>
      <c r="I523" s="11" t="s">
        <v>16</v>
      </c>
      <c r="J523" s="41">
        <v>44757</v>
      </c>
      <c r="K523" s="29" t="b">
        <f t="shared" si="44"/>
        <v>0</v>
      </c>
      <c r="L523" s="29" t="str">
        <f t="shared" si="46"/>
        <v>No Discount</v>
      </c>
      <c r="M523" s="18" t="str">
        <f t="shared" si="45"/>
        <v>Loss</v>
      </c>
    </row>
    <row r="524" spans="1:13" ht="30.75" thickBot="1" x14ac:dyDescent="0.3">
      <c r="A524" s="16" t="s">
        <v>1030</v>
      </c>
      <c r="B524" s="5" t="s">
        <v>74</v>
      </c>
      <c r="C524" s="5" t="s">
        <v>158</v>
      </c>
      <c r="D524" s="25" t="str">
        <f t="shared" si="43"/>
        <v>Item _Unknown_ COM</v>
      </c>
      <c r="E524" s="27">
        <f t="shared" si="42"/>
        <v>11</v>
      </c>
      <c r="F524" s="6">
        <v>5</v>
      </c>
      <c r="G524" s="6">
        <v>55</v>
      </c>
      <c r="H524" s="5" t="s">
        <v>27</v>
      </c>
      <c r="I524" s="5" t="s">
        <v>16</v>
      </c>
      <c r="J524" s="40">
        <v>45091</v>
      </c>
      <c r="K524" s="29" t="b">
        <f t="shared" si="44"/>
        <v>0</v>
      </c>
      <c r="L524" s="29" t="str">
        <f t="shared" si="46"/>
        <v>No Discount</v>
      </c>
      <c r="M524" s="18" t="str">
        <f t="shared" si="45"/>
        <v>Loss</v>
      </c>
    </row>
    <row r="525" spans="1:13" ht="15.75" thickBot="1" x14ac:dyDescent="0.3">
      <c r="A525" s="17" t="s">
        <v>1031</v>
      </c>
      <c r="B525" s="11" t="s">
        <v>71</v>
      </c>
      <c r="C525" s="11" t="s">
        <v>20</v>
      </c>
      <c r="D525" s="25" t="str">
        <f t="shared" si="43"/>
        <v>Item _Unknown_ ELE</v>
      </c>
      <c r="E525" s="27">
        <f t="shared" si="42"/>
        <v>35</v>
      </c>
      <c r="F525" s="12">
        <v>7</v>
      </c>
      <c r="G525" s="12">
        <v>245</v>
      </c>
      <c r="H525" s="11" t="s">
        <v>51</v>
      </c>
      <c r="I525" s="11" t="s">
        <v>39</v>
      </c>
      <c r="J525" s="41">
        <v>45208</v>
      </c>
      <c r="K525" s="29" t="b">
        <f t="shared" si="44"/>
        <v>0</v>
      </c>
      <c r="L525" s="29" t="str">
        <f t="shared" si="46"/>
        <v>No Discount</v>
      </c>
      <c r="M525" s="18" t="str">
        <f t="shared" si="45"/>
        <v>High Profit</v>
      </c>
    </row>
    <row r="526" spans="1:13" ht="15.75" thickBot="1" x14ac:dyDescent="0.3">
      <c r="A526" s="16" t="s">
        <v>1032</v>
      </c>
      <c r="B526" s="5" t="s">
        <v>41</v>
      </c>
      <c r="C526" s="5" t="s">
        <v>13</v>
      </c>
      <c r="D526" s="25" t="str">
        <f t="shared" si="43"/>
        <v>Item _Unknown_ COM</v>
      </c>
      <c r="E526" s="27">
        <f t="shared" si="42"/>
        <v>18.5</v>
      </c>
      <c r="F526" s="6">
        <v>6</v>
      </c>
      <c r="G526" s="6">
        <v>111</v>
      </c>
      <c r="H526" s="5" t="s">
        <v>15</v>
      </c>
      <c r="I526" s="5" t="s">
        <v>16</v>
      </c>
      <c r="J526" s="40">
        <v>44816</v>
      </c>
      <c r="K526" s="29" t="b">
        <f t="shared" si="44"/>
        <v>0</v>
      </c>
      <c r="L526" s="29" t="str">
        <f t="shared" si="46"/>
        <v>No Discount</v>
      </c>
      <c r="M526" s="18" t="str">
        <f t="shared" si="45"/>
        <v>Loss</v>
      </c>
    </row>
    <row r="527" spans="1:13" ht="15.75" thickBot="1" x14ac:dyDescent="0.3">
      <c r="A527" s="17" t="s">
        <v>1033</v>
      </c>
      <c r="B527" s="11" t="s">
        <v>136</v>
      </c>
      <c r="C527" s="11" t="s">
        <v>20</v>
      </c>
      <c r="D527" s="25" t="str">
        <f t="shared" si="43"/>
        <v>Item _Unknown_ BEV</v>
      </c>
      <c r="E527" s="27">
        <f t="shared" si="42"/>
        <v>23</v>
      </c>
      <c r="F527" s="12">
        <v>6</v>
      </c>
      <c r="G527" s="12">
        <v>138</v>
      </c>
      <c r="H527" s="11" t="s">
        <v>51</v>
      </c>
      <c r="I527" s="11" t="s">
        <v>16</v>
      </c>
      <c r="J527" s="41">
        <v>45107</v>
      </c>
      <c r="K527" s="29" t="b">
        <f t="shared" si="44"/>
        <v>0</v>
      </c>
      <c r="L527" s="29" t="str">
        <f t="shared" si="46"/>
        <v>No Discount</v>
      </c>
      <c r="M527" s="18" t="str">
        <f t="shared" si="45"/>
        <v>Loss</v>
      </c>
    </row>
    <row r="528" spans="1:13" ht="15.75" thickBot="1" x14ac:dyDescent="0.3">
      <c r="A528" s="16" t="s">
        <v>1034</v>
      </c>
      <c r="B528" s="5" t="s">
        <v>149</v>
      </c>
      <c r="C528" s="5" t="s">
        <v>42</v>
      </c>
      <c r="D528" s="25" t="str">
        <f t="shared" si="43"/>
        <v>Item _Unknown_ COM</v>
      </c>
      <c r="E528" s="27">
        <f t="shared" si="42"/>
        <v>20</v>
      </c>
      <c r="F528" s="6">
        <v>8</v>
      </c>
      <c r="G528" s="6">
        <v>160</v>
      </c>
      <c r="H528" s="5" t="s">
        <v>15</v>
      </c>
      <c r="I528" s="5" t="s">
        <v>16</v>
      </c>
      <c r="J528" s="40">
        <v>45084</v>
      </c>
      <c r="K528" s="29" t="b">
        <f t="shared" si="44"/>
        <v>0</v>
      </c>
      <c r="L528" s="29" t="str">
        <f t="shared" si="46"/>
        <v>No Discount</v>
      </c>
      <c r="M528" s="18" t="str">
        <f t="shared" si="45"/>
        <v>Loss</v>
      </c>
    </row>
    <row r="529" spans="1:13" ht="15.75" thickBot="1" x14ac:dyDescent="0.3">
      <c r="A529" s="17" t="s">
        <v>1035</v>
      </c>
      <c r="B529" s="11" t="s">
        <v>71</v>
      </c>
      <c r="C529" s="11" t="s">
        <v>42</v>
      </c>
      <c r="D529" s="25" t="str">
        <f t="shared" si="43"/>
        <v>Item _Unknown_ MIL</v>
      </c>
      <c r="E529" s="27">
        <f t="shared" si="42"/>
        <v>20</v>
      </c>
      <c r="F529" s="12">
        <v>8</v>
      </c>
      <c r="G529" s="12">
        <v>160</v>
      </c>
      <c r="H529" s="11" t="s">
        <v>51</v>
      </c>
      <c r="I529" s="11" t="s">
        <v>16</v>
      </c>
      <c r="J529" s="41">
        <v>45288</v>
      </c>
      <c r="K529" s="29" t="b">
        <f t="shared" si="44"/>
        <v>0</v>
      </c>
      <c r="L529" s="29" t="str">
        <f t="shared" si="46"/>
        <v>No Discount</v>
      </c>
      <c r="M529" s="18" t="str">
        <f t="shared" si="45"/>
        <v>Loss</v>
      </c>
    </row>
    <row r="530" spans="1:13" ht="30.75" thickBot="1" x14ac:dyDescent="0.3">
      <c r="A530" s="16" t="s">
        <v>1037</v>
      </c>
      <c r="B530" s="5" t="s">
        <v>99</v>
      </c>
      <c r="C530" s="5" t="s">
        <v>75</v>
      </c>
      <c r="D530" s="25" t="str">
        <f t="shared" si="43"/>
        <v>Item _Unknown_ PAT</v>
      </c>
      <c r="E530" s="27">
        <f t="shared" si="42"/>
        <v>15.5</v>
      </c>
      <c r="F530" s="6">
        <v>5</v>
      </c>
      <c r="G530" s="6">
        <v>77.5</v>
      </c>
      <c r="H530" s="5" t="s">
        <v>15</v>
      </c>
      <c r="I530" s="5" t="s">
        <v>39</v>
      </c>
      <c r="J530" s="40">
        <v>45338</v>
      </c>
      <c r="K530" s="29" t="b">
        <f t="shared" si="44"/>
        <v>0</v>
      </c>
      <c r="L530" s="29" t="str">
        <f t="shared" si="46"/>
        <v>No Discount</v>
      </c>
      <c r="M530" s="18" t="str">
        <f t="shared" si="45"/>
        <v>Loss</v>
      </c>
    </row>
    <row r="531" spans="1:13" ht="30.75" thickBot="1" x14ac:dyDescent="0.3">
      <c r="A531" s="17" t="s">
        <v>1039</v>
      </c>
      <c r="B531" s="11" t="s">
        <v>41</v>
      </c>
      <c r="C531" s="11" t="s">
        <v>75</v>
      </c>
      <c r="D531" s="25" t="str">
        <f t="shared" si="43"/>
        <v>Item _Unknown_ MIL</v>
      </c>
      <c r="E531" s="27">
        <f t="shared" si="42"/>
        <v>41</v>
      </c>
      <c r="F531" s="12">
        <v>5</v>
      </c>
      <c r="G531" s="12">
        <v>205</v>
      </c>
      <c r="H531" s="11" t="s">
        <v>15</v>
      </c>
      <c r="I531" s="11" t="s">
        <v>16</v>
      </c>
      <c r="J531" s="41">
        <v>45373</v>
      </c>
      <c r="K531" s="29" t="b">
        <f t="shared" si="44"/>
        <v>0</v>
      </c>
      <c r="L531" s="29" t="str">
        <f t="shared" si="46"/>
        <v>No Discount</v>
      </c>
      <c r="M531" s="18" t="str">
        <f t="shared" si="45"/>
        <v>High Profit</v>
      </c>
    </row>
    <row r="532" spans="1:13" ht="15.75" thickBot="1" x14ac:dyDescent="0.3">
      <c r="A532" s="16" t="s">
        <v>1041</v>
      </c>
      <c r="B532" s="5" t="s">
        <v>19</v>
      </c>
      <c r="C532" s="5" t="s">
        <v>25</v>
      </c>
      <c r="D532" s="25" t="str">
        <f t="shared" si="43"/>
        <v>Item _Unknown_ FUR</v>
      </c>
      <c r="E532" s="27">
        <f t="shared" si="42"/>
        <v>36.5</v>
      </c>
      <c r="F532" s="6">
        <v>7</v>
      </c>
      <c r="G532" s="6">
        <v>255.5</v>
      </c>
      <c r="H532" s="5" t="s">
        <v>51</v>
      </c>
      <c r="I532" s="5" t="s">
        <v>39</v>
      </c>
      <c r="J532" s="40">
        <v>44642</v>
      </c>
      <c r="K532" s="29" t="b">
        <f t="shared" si="44"/>
        <v>0</v>
      </c>
      <c r="L532" s="29" t="str">
        <f t="shared" si="46"/>
        <v>No Discount</v>
      </c>
      <c r="M532" s="18" t="str">
        <f t="shared" si="45"/>
        <v>High Profit</v>
      </c>
    </row>
    <row r="533" spans="1:13" ht="15.75" thickBot="1" x14ac:dyDescent="0.3">
      <c r="A533" s="17" t="s">
        <v>1043</v>
      </c>
      <c r="B533" s="11" t="s">
        <v>29</v>
      </c>
      <c r="C533" s="11" t="s">
        <v>13</v>
      </c>
      <c r="D533" s="25" t="str">
        <f t="shared" si="43"/>
        <v>Item _Unknown_ FUR</v>
      </c>
      <c r="E533" s="27">
        <f t="shared" si="42"/>
        <v>5</v>
      </c>
      <c r="F533" s="12">
        <v>8</v>
      </c>
      <c r="G533" s="12">
        <v>40</v>
      </c>
      <c r="H533" s="11" t="s">
        <v>27</v>
      </c>
      <c r="I533" s="11" t="s">
        <v>16</v>
      </c>
      <c r="J533" s="41">
        <v>44862</v>
      </c>
      <c r="K533" s="29" t="b">
        <f t="shared" si="44"/>
        <v>0</v>
      </c>
      <c r="L533" s="29" t="str">
        <f t="shared" si="46"/>
        <v>No Discount</v>
      </c>
      <c r="M533" s="18" t="str">
        <f t="shared" si="45"/>
        <v>Loss</v>
      </c>
    </row>
    <row r="534" spans="1:13" ht="15.75" thickBot="1" x14ac:dyDescent="0.3">
      <c r="A534" s="16" t="s">
        <v>1045</v>
      </c>
      <c r="B534" s="5" t="s">
        <v>60</v>
      </c>
      <c r="C534" s="5" t="s">
        <v>49</v>
      </c>
      <c r="D534" s="25" t="str">
        <f t="shared" si="43"/>
        <v>Item _Unknown_ ELE</v>
      </c>
      <c r="E534" s="27">
        <f t="shared" si="42"/>
        <v>23</v>
      </c>
      <c r="F534" s="6">
        <v>8</v>
      </c>
      <c r="G534" s="6">
        <v>184</v>
      </c>
      <c r="H534" s="5" t="s">
        <v>15</v>
      </c>
      <c r="I534" s="5" t="s">
        <v>16</v>
      </c>
      <c r="J534" s="40">
        <v>44897</v>
      </c>
      <c r="K534" s="29" t="b">
        <f t="shared" si="44"/>
        <v>0</v>
      </c>
      <c r="L534" s="29" t="str">
        <f t="shared" si="46"/>
        <v>No Discount</v>
      </c>
      <c r="M534" s="18" t="str">
        <f t="shared" si="45"/>
        <v>Loss</v>
      </c>
    </row>
    <row r="535" spans="1:13" ht="30.75" thickBot="1" x14ac:dyDescent="0.3">
      <c r="A535" s="17" t="s">
        <v>1046</v>
      </c>
      <c r="B535" s="11" t="s">
        <v>86</v>
      </c>
      <c r="C535" s="11" t="s">
        <v>75</v>
      </c>
      <c r="D535" s="25" t="str">
        <f t="shared" si="43"/>
        <v>Item _Unknown_ ELE</v>
      </c>
      <c r="E535" s="27">
        <f t="shared" si="42"/>
        <v>26</v>
      </c>
      <c r="F535" s="12">
        <v>7</v>
      </c>
      <c r="G535" s="12">
        <v>182</v>
      </c>
      <c r="H535" s="11" t="s">
        <v>51</v>
      </c>
      <c r="I535" s="11" t="s">
        <v>16</v>
      </c>
      <c r="J535" s="41">
        <v>44696</v>
      </c>
      <c r="K535" s="29" t="b">
        <f t="shared" si="44"/>
        <v>0</v>
      </c>
      <c r="L535" s="29" t="str">
        <f t="shared" si="46"/>
        <v>No Discount</v>
      </c>
      <c r="M535" s="18" t="str">
        <f t="shared" si="45"/>
        <v>Medium</v>
      </c>
    </row>
    <row r="536" spans="1:13" ht="15.75" thickBot="1" x14ac:dyDescent="0.3">
      <c r="A536" s="16" t="s">
        <v>1048</v>
      </c>
      <c r="B536" s="5" t="s">
        <v>136</v>
      </c>
      <c r="C536" s="5" t="s">
        <v>20</v>
      </c>
      <c r="D536" s="25" t="str">
        <f t="shared" si="43"/>
        <v>Item _Unknown_ BEV</v>
      </c>
      <c r="E536" s="27">
        <f t="shared" si="42"/>
        <v>12.5</v>
      </c>
      <c r="F536" s="6">
        <v>2</v>
      </c>
      <c r="G536" s="6">
        <v>25</v>
      </c>
      <c r="H536" s="5" t="s">
        <v>51</v>
      </c>
      <c r="I536" s="5" t="s">
        <v>39</v>
      </c>
      <c r="J536" s="40">
        <v>45517</v>
      </c>
      <c r="K536" s="29" t="b">
        <f t="shared" si="44"/>
        <v>0</v>
      </c>
      <c r="L536" s="29" t="str">
        <f t="shared" si="46"/>
        <v>No Discount</v>
      </c>
      <c r="M536" s="18" t="str">
        <f t="shared" si="45"/>
        <v>Loss</v>
      </c>
    </row>
    <row r="537" spans="1:13" ht="15.75" thickBot="1" x14ac:dyDescent="0.3">
      <c r="A537" s="17" t="s">
        <v>1050</v>
      </c>
      <c r="B537" s="11" t="s">
        <v>206</v>
      </c>
      <c r="C537" s="11" t="s">
        <v>42</v>
      </c>
      <c r="D537" s="25" t="str">
        <f t="shared" si="43"/>
        <v>Item _Unknown_ PAT</v>
      </c>
      <c r="E537" s="27">
        <f t="shared" si="42"/>
        <v>24.5</v>
      </c>
      <c r="F537" s="12">
        <v>7</v>
      </c>
      <c r="G537" s="12">
        <v>171.5</v>
      </c>
      <c r="H537" s="11" t="s">
        <v>51</v>
      </c>
      <c r="I537" s="11" t="s">
        <v>16</v>
      </c>
      <c r="J537" s="41">
        <v>44921</v>
      </c>
      <c r="K537" s="29" t="b">
        <f t="shared" si="44"/>
        <v>0</v>
      </c>
      <c r="L537" s="29" t="str">
        <f t="shared" si="46"/>
        <v>No Discount</v>
      </c>
      <c r="M537" s="18" t="str">
        <f t="shared" si="45"/>
        <v>Loss</v>
      </c>
    </row>
    <row r="538" spans="1:13" ht="15.75" thickBot="1" x14ac:dyDescent="0.3">
      <c r="A538" s="16" t="s">
        <v>1052</v>
      </c>
      <c r="B538" s="5" t="s">
        <v>206</v>
      </c>
      <c r="C538" s="5" t="s">
        <v>13</v>
      </c>
      <c r="D538" s="25" t="str">
        <f t="shared" si="43"/>
        <v>Item _Unknown_ BUT</v>
      </c>
      <c r="E538" s="27">
        <f t="shared" si="42"/>
        <v>29</v>
      </c>
      <c r="F538" s="6">
        <v>1</v>
      </c>
      <c r="G538" s="6">
        <v>29</v>
      </c>
      <c r="H538" s="5" t="s">
        <v>51</v>
      </c>
      <c r="I538" s="5" t="s">
        <v>16</v>
      </c>
      <c r="J538" s="40">
        <v>45010</v>
      </c>
      <c r="K538" s="29" t="b">
        <f t="shared" si="44"/>
        <v>0</v>
      </c>
      <c r="L538" s="29" t="str">
        <f t="shared" si="46"/>
        <v>No Discount</v>
      </c>
      <c r="M538" s="18" t="str">
        <f t="shared" si="45"/>
        <v>Medium</v>
      </c>
    </row>
    <row r="539" spans="1:13" ht="30.75" thickBot="1" x14ac:dyDescent="0.3">
      <c r="A539" s="17" t="s">
        <v>1053</v>
      </c>
      <c r="B539" s="11" t="s">
        <v>120</v>
      </c>
      <c r="C539" s="11" t="s">
        <v>75</v>
      </c>
      <c r="D539" s="25" t="str">
        <f t="shared" si="43"/>
        <v>Item _Unknown_ ELE</v>
      </c>
      <c r="E539" s="27">
        <f t="shared" si="42"/>
        <v>29</v>
      </c>
      <c r="F539" s="12">
        <v>4</v>
      </c>
      <c r="G539" s="12">
        <v>116</v>
      </c>
      <c r="H539" s="11" t="s">
        <v>15</v>
      </c>
      <c r="I539" s="11" t="s">
        <v>39</v>
      </c>
      <c r="J539" s="41">
        <v>44794</v>
      </c>
      <c r="K539" s="29" t="b">
        <f t="shared" si="44"/>
        <v>0</v>
      </c>
      <c r="L539" s="29" t="str">
        <f t="shared" si="46"/>
        <v>No Discount</v>
      </c>
      <c r="M539" s="18" t="str">
        <f t="shared" si="45"/>
        <v>Medium</v>
      </c>
    </row>
    <row r="540" spans="1:13" ht="15.75" thickBot="1" x14ac:dyDescent="0.3">
      <c r="A540" s="16" t="s">
        <v>1055</v>
      </c>
      <c r="B540" s="5" t="s">
        <v>140</v>
      </c>
      <c r="C540" s="5" t="s">
        <v>25</v>
      </c>
      <c r="D540" s="25" t="str">
        <f t="shared" si="43"/>
        <v>Item _Unknown_ MIL</v>
      </c>
      <c r="E540" s="27">
        <f t="shared" si="42"/>
        <v>33.5</v>
      </c>
      <c r="F540" s="6">
        <v>1</v>
      </c>
      <c r="G540" s="6">
        <v>33.5</v>
      </c>
      <c r="H540" s="5" t="s">
        <v>51</v>
      </c>
      <c r="I540" s="5" t="s">
        <v>39</v>
      </c>
      <c r="J540" s="40">
        <v>45589</v>
      </c>
      <c r="K540" s="29" t="b">
        <f t="shared" si="44"/>
        <v>0</v>
      </c>
      <c r="L540" s="29" t="str">
        <f t="shared" si="46"/>
        <v>No Discount</v>
      </c>
      <c r="M540" s="18" t="str">
        <f t="shared" si="45"/>
        <v>Medium</v>
      </c>
    </row>
    <row r="541" spans="1:13" ht="15.75" thickBot="1" x14ac:dyDescent="0.3">
      <c r="A541" s="17" t="s">
        <v>1057</v>
      </c>
      <c r="B541" s="11" t="s">
        <v>86</v>
      </c>
      <c r="C541" s="11" t="s">
        <v>25</v>
      </c>
      <c r="D541" s="25" t="str">
        <f t="shared" si="43"/>
        <v>Item _Unknown_ FUR</v>
      </c>
      <c r="E541" s="27">
        <f t="shared" si="42"/>
        <v>29</v>
      </c>
      <c r="F541" s="12">
        <v>1</v>
      </c>
      <c r="G541" s="12">
        <v>29</v>
      </c>
      <c r="H541" s="11" t="s">
        <v>15</v>
      </c>
      <c r="I541" s="11" t="s">
        <v>16</v>
      </c>
      <c r="J541" s="41">
        <v>44633</v>
      </c>
      <c r="K541" s="29" t="b">
        <f t="shared" si="44"/>
        <v>0</v>
      </c>
      <c r="L541" s="29" t="str">
        <f t="shared" si="46"/>
        <v>No Discount</v>
      </c>
      <c r="M541" s="18" t="str">
        <f t="shared" si="45"/>
        <v>Medium</v>
      </c>
    </row>
    <row r="542" spans="1:13" ht="15.75" thickBot="1" x14ac:dyDescent="0.3">
      <c r="A542" s="16" t="s">
        <v>1059</v>
      </c>
      <c r="B542" s="5" t="s">
        <v>130</v>
      </c>
      <c r="C542" s="5" t="s">
        <v>42</v>
      </c>
      <c r="D542" s="25" t="str">
        <f t="shared" si="43"/>
        <v>Item _Unknown_ PAT</v>
      </c>
      <c r="E542" s="27">
        <f t="shared" si="42"/>
        <v>20</v>
      </c>
      <c r="F542" s="6">
        <v>1</v>
      </c>
      <c r="G542" s="6">
        <v>20</v>
      </c>
      <c r="H542" s="5" t="s">
        <v>27</v>
      </c>
      <c r="I542" s="5" t="s">
        <v>39</v>
      </c>
      <c r="J542" s="40">
        <v>45642</v>
      </c>
      <c r="K542" s="29" t="b">
        <f t="shared" si="44"/>
        <v>0</v>
      </c>
      <c r="L542" s="29" t="str">
        <f t="shared" si="46"/>
        <v>No Discount</v>
      </c>
      <c r="M542" s="18" t="str">
        <f t="shared" si="45"/>
        <v>Loss</v>
      </c>
    </row>
    <row r="543" spans="1:13" ht="15.75" thickBot="1" x14ac:dyDescent="0.3">
      <c r="A543" s="17" t="s">
        <v>1061</v>
      </c>
      <c r="B543" s="11" t="s">
        <v>74</v>
      </c>
      <c r="C543" s="11" t="s">
        <v>42</v>
      </c>
      <c r="D543" s="25" t="str">
        <f t="shared" si="43"/>
        <v>Item _Unknown_ ELE</v>
      </c>
      <c r="E543" s="27">
        <f t="shared" si="42"/>
        <v>5</v>
      </c>
      <c r="F543" s="12">
        <v>5</v>
      </c>
      <c r="G543" s="12">
        <v>25</v>
      </c>
      <c r="H543" s="11" t="s">
        <v>27</v>
      </c>
      <c r="I543" s="11" t="s">
        <v>16</v>
      </c>
      <c r="J543" s="41">
        <v>44910</v>
      </c>
      <c r="K543" s="29" t="b">
        <f t="shared" si="44"/>
        <v>0</v>
      </c>
      <c r="L543" s="29" t="str">
        <f t="shared" si="46"/>
        <v>No Discount</v>
      </c>
      <c r="M543" s="18" t="str">
        <f t="shared" si="45"/>
        <v>Loss</v>
      </c>
    </row>
    <row r="544" spans="1:13" ht="15.75" thickBot="1" x14ac:dyDescent="0.3">
      <c r="A544" s="16" t="s">
        <v>1062</v>
      </c>
      <c r="B544" s="5" t="s">
        <v>29</v>
      </c>
      <c r="C544" s="5" t="s">
        <v>42</v>
      </c>
      <c r="D544" s="25" t="str">
        <f t="shared" si="43"/>
        <v>Item _Unknown_ BEV</v>
      </c>
      <c r="E544" s="27">
        <f t="shared" si="42"/>
        <v>29</v>
      </c>
      <c r="F544" s="6">
        <v>2</v>
      </c>
      <c r="G544" s="6">
        <v>58</v>
      </c>
      <c r="H544" s="5" t="s">
        <v>51</v>
      </c>
      <c r="I544" s="5" t="s">
        <v>16</v>
      </c>
      <c r="J544" s="40">
        <v>44938</v>
      </c>
      <c r="K544" s="29" t="b">
        <f t="shared" si="44"/>
        <v>0</v>
      </c>
      <c r="L544" s="29" t="str">
        <f t="shared" si="46"/>
        <v>No Discount</v>
      </c>
      <c r="M544" s="18" t="str">
        <f t="shared" si="45"/>
        <v>Medium</v>
      </c>
    </row>
    <row r="545" spans="1:13" ht="15.75" thickBot="1" x14ac:dyDescent="0.3">
      <c r="A545" s="17" t="s">
        <v>1063</v>
      </c>
      <c r="B545" s="11" t="s">
        <v>120</v>
      </c>
      <c r="C545" s="11" t="s">
        <v>20</v>
      </c>
      <c r="D545" s="25" t="str">
        <f t="shared" si="43"/>
        <v>Item _Unknown_ BEV</v>
      </c>
      <c r="E545" s="27">
        <f t="shared" si="42"/>
        <v>26</v>
      </c>
      <c r="F545" s="12">
        <v>2</v>
      </c>
      <c r="G545" s="12">
        <v>52</v>
      </c>
      <c r="H545" s="11" t="s">
        <v>51</v>
      </c>
      <c r="I545" s="11" t="s">
        <v>39</v>
      </c>
      <c r="J545" s="41">
        <v>45378</v>
      </c>
      <c r="K545" s="29" t="b">
        <f t="shared" si="44"/>
        <v>0</v>
      </c>
      <c r="L545" s="29" t="str">
        <f t="shared" si="46"/>
        <v>No Discount</v>
      </c>
      <c r="M545" s="18" t="str">
        <f t="shared" si="45"/>
        <v>Medium</v>
      </c>
    </row>
    <row r="546" spans="1:13" ht="30.75" thickBot="1" x14ac:dyDescent="0.3">
      <c r="A546" s="16" t="s">
        <v>1064</v>
      </c>
      <c r="B546" s="5" t="s">
        <v>12</v>
      </c>
      <c r="C546" s="5" t="s">
        <v>158</v>
      </c>
      <c r="D546" s="25" t="str">
        <f t="shared" si="43"/>
        <v>Item _Unknown_ FUR</v>
      </c>
      <c r="E546" s="27">
        <f t="shared" si="42"/>
        <v>30.5</v>
      </c>
      <c r="F546" s="6">
        <v>9</v>
      </c>
      <c r="G546" s="6">
        <v>274.5</v>
      </c>
      <c r="H546" s="5" t="s">
        <v>51</v>
      </c>
      <c r="I546" s="5" t="s">
        <v>39</v>
      </c>
      <c r="J546" s="40">
        <v>45532</v>
      </c>
      <c r="K546" s="29" t="b">
        <f t="shared" si="44"/>
        <v>0</v>
      </c>
      <c r="L546" s="29" t="str">
        <f t="shared" si="46"/>
        <v>No Discount</v>
      </c>
      <c r="M546" s="18" t="str">
        <f t="shared" si="45"/>
        <v>Medium</v>
      </c>
    </row>
    <row r="547" spans="1:13" ht="15.75" thickBot="1" x14ac:dyDescent="0.3">
      <c r="A547" s="17" t="s">
        <v>1066</v>
      </c>
      <c r="B547" s="11" t="s">
        <v>99</v>
      </c>
      <c r="C547" s="11" t="s">
        <v>20</v>
      </c>
      <c r="D547" s="25" t="str">
        <f t="shared" si="43"/>
        <v>Item _Unknown_ FUR</v>
      </c>
      <c r="E547" s="27">
        <f t="shared" si="42"/>
        <v>30.5</v>
      </c>
      <c r="F547" s="12">
        <v>7</v>
      </c>
      <c r="G547" s="12">
        <v>213.5</v>
      </c>
      <c r="H547" s="11" t="s">
        <v>27</v>
      </c>
      <c r="I547" s="11" t="s">
        <v>39</v>
      </c>
      <c r="J547" s="41">
        <v>45203</v>
      </c>
      <c r="K547" s="29" t="b">
        <f t="shared" si="44"/>
        <v>0</v>
      </c>
      <c r="L547" s="29" t="str">
        <f t="shared" si="46"/>
        <v>No Discount</v>
      </c>
      <c r="M547" s="18" t="str">
        <f t="shared" si="45"/>
        <v>Medium</v>
      </c>
    </row>
    <row r="548" spans="1:13" ht="15.75" thickBot="1" x14ac:dyDescent="0.3">
      <c r="A548" s="16" t="s">
        <v>1067</v>
      </c>
      <c r="B548" s="5" t="s">
        <v>117</v>
      </c>
      <c r="C548" s="5" t="s">
        <v>49</v>
      </c>
      <c r="D548" s="25" t="str">
        <f t="shared" si="43"/>
        <v>Item _Unknown_ FUR</v>
      </c>
      <c r="E548" s="27">
        <f t="shared" si="42"/>
        <v>36.5</v>
      </c>
      <c r="F548" s="6">
        <v>10</v>
      </c>
      <c r="G548" s="6">
        <v>365</v>
      </c>
      <c r="H548" s="5" t="s">
        <v>15</v>
      </c>
      <c r="I548" s="5" t="s">
        <v>39</v>
      </c>
      <c r="J548" s="40">
        <v>44638</v>
      </c>
      <c r="K548" s="29" t="b">
        <f t="shared" si="44"/>
        <v>0</v>
      </c>
      <c r="L548" s="29" t="str">
        <f t="shared" si="46"/>
        <v>No Discount</v>
      </c>
      <c r="M548" s="18" t="str">
        <f t="shared" si="45"/>
        <v>High Profit</v>
      </c>
    </row>
    <row r="549" spans="1:13" ht="30.75" thickBot="1" x14ac:dyDescent="0.3">
      <c r="A549" s="17" t="s">
        <v>1069</v>
      </c>
      <c r="B549" s="11" t="s">
        <v>19</v>
      </c>
      <c r="C549" s="11" t="s">
        <v>75</v>
      </c>
      <c r="D549" s="25" t="str">
        <f t="shared" si="43"/>
        <v>Item _Unknown_ MIL</v>
      </c>
      <c r="E549" s="27">
        <f t="shared" si="42"/>
        <v>35</v>
      </c>
      <c r="F549" s="12">
        <v>5</v>
      </c>
      <c r="G549" s="12">
        <v>175</v>
      </c>
      <c r="H549" s="11" t="s">
        <v>51</v>
      </c>
      <c r="I549" s="11" t="s">
        <v>39</v>
      </c>
      <c r="J549" s="41">
        <v>45654</v>
      </c>
      <c r="K549" s="29" t="b">
        <f t="shared" si="44"/>
        <v>0</v>
      </c>
      <c r="L549" s="29" t="str">
        <f t="shared" si="46"/>
        <v>No Discount</v>
      </c>
      <c r="M549" s="18" t="str">
        <f t="shared" si="45"/>
        <v>High Profit</v>
      </c>
    </row>
    <row r="550" spans="1:13" ht="15.75" thickBot="1" x14ac:dyDescent="0.3">
      <c r="A550" s="16" t="s">
        <v>1071</v>
      </c>
      <c r="B550" s="5" t="s">
        <v>78</v>
      </c>
      <c r="C550" s="5" t="s">
        <v>49</v>
      </c>
      <c r="D550" s="25" t="str">
        <f t="shared" si="43"/>
        <v>Item _Unknown_ COM</v>
      </c>
      <c r="E550" s="27">
        <f t="shared" si="42"/>
        <v>21.5</v>
      </c>
      <c r="F550" s="6">
        <v>5</v>
      </c>
      <c r="G550" s="6">
        <v>107.5</v>
      </c>
      <c r="H550" s="5" t="s">
        <v>51</v>
      </c>
      <c r="I550" s="5" t="s">
        <v>39</v>
      </c>
      <c r="J550" s="40">
        <v>44637</v>
      </c>
      <c r="K550" s="29" t="b">
        <f t="shared" si="44"/>
        <v>0</v>
      </c>
      <c r="L550" s="29" t="str">
        <f t="shared" si="46"/>
        <v>No Discount</v>
      </c>
      <c r="M550" s="18" t="str">
        <f t="shared" si="45"/>
        <v>Loss</v>
      </c>
    </row>
    <row r="551" spans="1:13" ht="15.75" thickBot="1" x14ac:dyDescent="0.3">
      <c r="A551" s="17" t="s">
        <v>1072</v>
      </c>
      <c r="B551" s="11" t="s">
        <v>60</v>
      </c>
      <c r="C551" s="11" t="s">
        <v>13</v>
      </c>
      <c r="D551" s="25" t="str">
        <f t="shared" si="43"/>
        <v>Item _Unknown_ MIL</v>
      </c>
      <c r="E551" s="27">
        <f t="shared" si="42"/>
        <v>38</v>
      </c>
      <c r="F551" s="12">
        <v>3</v>
      </c>
      <c r="G551" s="12">
        <v>114</v>
      </c>
      <c r="H551" s="11" t="s">
        <v>15</v>
      </c>
      <c r="I551" s="11" t="s">
        <v>16</v>
      </c>
      <c r="J551" s="41">
        <v>44676</v>
      </c>
      <c r="K551" s="29" t="b">
        <f t="shared" si="44"/>
        <v>0</v>
      </c>
      <c r="L551" s="29" t="str">
        <f t="shared" si="46"/>
        <v>No Discount</v>
      </c>
      <c r="M551" s="18" t="str">
        <f t="shared" si="45"/>
        <v>High Profit</v>
      </c>
    </row>
    <row r="552" spans="1:13" ht="15.75" thickBot="1" x14ac:dyDescent="0.3">
      <c r="A552" s="16" t="s">
        <v>1075</v>
      </c>
      <c r="B552" s="5" t="s">
        <v>44</v>
      </c>
      <c r="C552" s="5" t="s">
        <v>20</v>
      </c>
      <c r="D552" s="25" t="str">
        <f t="shared" si="43"/>
        <v>Item _Unknown_ BUT</v>
      </c>
      <c r="E552" s="27">
        <f t="shared" ref="E552:E613" si="47">G552/F552</f>
        <v>32</v>
      </c>
      <c r="F552" s="6">
        <v>6</v>
      </c>
      <c r="G552" s="6">
        <v>192</v>
      </c>
      <c r="H552" s="5" t="s">
        <v>27</v>
      </c>
      <c r="I552" s="5" t="s">
        <v>16</v>
      </c>
      <c r="J552" s="40">
        <v>45186</v>
      </c>
      <c r="K552" s="29" t="b">
        <f t="shared" si="44"/>
        <v>0</v>
      </c>
      <c r="L552" s="29" t="str">
        <f t="shared" si="46"/>
        <v>No Discount</v>
      </c>
      <c r="M552" s="18" t="str">
        <f t="shared" si="45"/>
        <v>Medium</v>
      </c>
    </row>
    <row r="553" spans="1:13" ht="30.75" thickBot="1" x14ac:dyDescent="0.3">
      <c r="A553" s="17" t="s">
        <v>1077</v>
      </c>
      <c r="B553" s="11" t="s">
        <v>140</v>
      </c>
      <c r="C553" s="11" t="s">
        <v>75</v>
      </c>
      <c r="D553" s="25" t="str">
        <f t="shared" si="43"/>
        <v>Item _Unknown_ ELE</v>
      </c>
      <c r="E553" s="27">
        <f t="shared" si="47"/>
        <v>26</v>
      </c>
      <c r="F553" s="12">
        <v>3</v>
      </c>
      <c r="G553" s="12">
        <v>78</v>
      </c>
      <c r="H553" s="11" t="s">
        <v>51</v>
      </c>
      <c r="I553" s="11" t="s">
        <v>39</v>
      </c>
      <c r="J553" s="41">
        <v>44802</v>
      </c>
      <c r="K553" s="29" t="b">
        <f t="shared" si="44"/>
        <v>0</v>
      </c>
      <c r="L553" s="29" t="str">
        <f t="shared" si="46"/>
        <v>No Discount</v>
      </c>
      <c r="M553" s="18" t="str">
        <f t="shared" si="45"/>
        <v>Medium</v>
      </c>
    </row>
    <row r="554" spans="1:13" ht="15.75" thickBot="1" x14ac:dyDescent="0.3">
      <c r="A554" s="16" t="s">
        <v>1079</v>
      </c>
      <c r="B554" s="5" t="s">
        <v>60</v>
      </c>
      <c r="C554" s="5" t="s">
        <v>30</v>
      </c>
      <c r="D554" s="25" t="str">
        <f t="shared" ref="D554:D615" si="48">"Item _Unknown_ "&amp;UPPER(LEFT(C550,3))</f>
        <v>Item _Unknown_ BUT</v>
      </c>
      <c r="E554" s="27">
        <f t="shared" si="47"/>
        <v>29</v>
      </c>
      <c r="F554" s="6">
        <v>7</v>
      </c>
      <c r="G554" s="6">
        <v>203</v>
      </c>
      <c r="H554" s="5" t="s">
        <v>27</v>
      </c>
      <c r="I554" s="5" t="s">
        <v>39</v>
      </c>
      <c r="J554" s="40">
        <v>44783</v>
      </c>
      <c r="K554" s="29" t="b">
        <f t="shared" si="44"/>
        <v>0</v>
      </c>
      <c r="L554" s="29" t="str">
        <f t="shared" si="46"/>
        <v>No Discount</v>
      </c>
      <c r="M554" s="18" t="str">
        <f t="shared" si="45"/>
        <v>Medium</v>
      </c>
    </row>
    <row r="555" spans="1:13" ht="15.75" thickBot="1" x14ac:dyDescent="0.3">
      <c r="A555" s="17" t="s">
        <v>1080</v>
      </c>
      <c r="B555" s="11" t="s">
        <v>86</v>
      </c>
      <c r="C555" s="11" t="s">
        <v>20</v>
      </c>
      <c r="D555" s="25" t="str">
        <f t="shared" si="48"/>
        <v>Item _Unknown_ PAT</v>
      </c>
      <c r="E555" s="27">
        <f t="shared" si="47"/>
        <v>23</v>
      </c>
      <c r="F555" s="12">
        <v>7</v>
      </c>
      <c r="G555" s="12">
        <v>161</v>
      </c>
      <c r="H555" s="11" t="s">
        <v>27</v>
      </c>
      <c r="I555" s="11" t="s">
        <v>39</v>
      </c>
      <c r="J555" s="41">
        <v>45238</v>
      </c>
      <c r="K555" s="29" t="b">
        <f t="shared" si="44"/>
        <v>0</v>
      </c>
      <c r="L555" s="29" t="str">
        <f t="shared" si="46"/>
        <v>No Discount</v>
      </c>
      <c r="M555" s="18" t="str">
        <f t="shared" si="45"/>
        <v>Loss</v>
      </c>
    </row>
    <row r="556" spans="1:13" ht="15.75" thickBot="1" x14ac:dyDescent="0.3">
      <c r="A556" s="16" t="s">
        <v>1081</v>
      </c>
      <c r="B556" s="5" t="s">
        <v>149</v>
      </c>
      <c r="C556" s="5" t="s">
        <v>20</v>
      </c>
      <c r="D556" s="25" t="str">
        <f t="shared" si="48"/>
        <v>Item _Unknown_ MIL</v>
      </c>
      <c r="E556" s="27">
        <f t="shared" si="47"/>
        <v>6.5</v>
      </c>
      <c r="F556" s="6">
        <v>10</v>
      </c>
      <c r="G556" s="6">
        <v>65</v>
      </c>
      <c r="H556" s="5" t="s">
        <v>27</v>
      </c>
      <c r="I556" s="5" t="s">
        <v>16</v>
      </c>
      <c r="J556" s="40">
        <v>45097</v>
      </c>
      <c r="K556" s="29" t="b">
        <f t="shared" si="44"/>
        <v>0</v>
      </c>
      <c r="L556" s="29" t="str">
        <f t="shared" si="46"/>
        <v>No Discount</v>
      </c>
      <c r="M556" s="18" t="str">
        <f t="shared" si="45"/>
        <v>Loss</v>
      </c>
    </row>
    <row r="557" spans="1:13" ht="15.75" thickBot="1" x14ac:dyDescent="0.3">
      <c r="A557" s="17" t="s">
        <v>1083</v>
      </c>
      <c r="B557" s="11" t="s">
        <v>60</v>
      </c>
      <c r="C557" s="11" t="s">
        <v>30</v>
      </c>
      <c r="D557" s="25" t="str">
        <f t="shared" si="48"/>
        <v>Item _Unknown_ ELE</v>
      </c>
      <c r="E557" s="27">
        <f t="shared" si="47"/>
        <v>21.5</v>
      </c>
      <c r="F557" s="12">
        <v>9</v>
      </c>
      <c r="G557" s="12">
        <v>193.5</v>
      </c>
      <c r="H557" s="11" t="s">
        <v>15</v>
      </c>
      <c r="I557" s="11" t="s">
        <v>16</v>
      </c>
      <c r="J557" s="41">
        <v>44870</v>
      </c>
      <c r="K557" s="29" t="b">
        <f t="shared" si="44"/>
        <v>0</v>
      </c>
      <c r="L557" s="29" t="str">
        <f t="shared" si="46"/>
        <v>No Discount</v>
      </c>
      <c r="M557" s="18" t="str">
        <f t="shared" si="45"/>
        <v>Loss</v>
      </c>
    </row>
    <row r="558" spans="1:13" ht="15.75" thickBot="1" x14ac:dyDescent="0.3">
      <c r="A558" s="16" t="s">
        <v>1084</v>
      </c>
      <c r="B558" s="5" t="s">
        <v>19</v>
      </c>
      <c r="C558" s="5" t="s">
        <v>20</v>
      </c>
      <c r="D558" s="25" t="str">
        <f t="shared" si="48"/>
        <v>Item _Unknown_ FOO</v>
      </c>
      <c r="E558" s="27">
        <f t="shared" si="47"/>
        <v>29</v>
      </c>
      <c r="F558" s="6">
        <v>2</v>
      </c>
      <c r="G558" s="6">
        <v>58</v>
      </c>
      <c r="H558" s="5" t="s">
        <v>15</v>
      </c>
      <c r="I558" s="5" t="s">
        <v>39</v>
      </c>
      <c r="J558" s="40">
        <v>44752</v>
      </c>
      <c r="K558" s="29" t="b">
        <f t="shared" si="44"/>
        <v>0</v>
      </c>
      <c r="L558" s="29" t="str">
        <f t="shared" si="46"/>
        <v>No Discount</v>
      </c>
      <c r="M558" s="18" t="str">
        <f t="shared" si="45"/>
        <v>Medium</v>
      </c>
    </row>
    <row r="559" spans="1:13" ht="15.75" thickBot="1" x14ac:dyDescent="0.3">
      <c r="A559" s="17" t="s">
        <v>1085</v>
      </c>
      <c r="B559" s="11" t="s">
        <v>127</v>
      </c>
      <c r="C559" s="11" t="s">
        <v>49</v>
      </c>
      <c r="D559" s="25" t="str">
        <f t="shared" si="48"/>
        <v>Item _Unknown_ MIL</v>
      </c>
      <c r="E559" s="27">
        <f t="shared" si="47"/>
        <v>38</v>
      </c>
      <c r="F559" s="12">
        <v>7</v>
      </c>
      <c r="G559" s="12">
        <v>266</v>
      </c>
      <c r="H559" s="11" t="s">
        <v>27</v>
      </c>
      <c r="I559" s="11" t="s">
        <v>39</v>
      </c>
      <c r="J559" s="41">
        <v>44656</v>
      </c>
      <c r="K559" s="29" t="b">
        <f t="shared" si="44"/>
        <v>0</v>
      </c>
      <c r="L559" s="29" t="str">
        <f t="shared" si="46"/>
        <v>No Discount</v>
      </c>
      <c r="M559" s="18" t="str">
        <f t="shared" si="45"/>
        <v>High Profit</v>
      </c>
    </row>
    <row r="560" spans="1:13" ht="15.75" thickBot="1" x14ac:dyDescent="0.3">
      <c r="A560" s="16" t="s">
        <v>1086</v>
      </c>
      <c r="B560" s="5" t="s">
        <v>127</v>
      </c>
      <c r="C560" s="5" t="s">
        <v>42</v>
      </c>
      <c r="D560" s="25" t="str">
        <f t="shared" si="48"/>
        <v>Item _Unknown_ MIL</v>
      </c>
      <c r="E560" s="27">
        <f t="shared" si="47"/>
        <v>39.5</v>
      </c>
      <c r="F560" s="6">
        <v>7</v>
      </c>
      <c r="G560" s="6">
        <v>276.5</v>
      </c>
      <c r="H560" s="5" t="s">
        <v>51</v>
      </c>
      <c r="I560" s="5" t="s">
        <v>39</v>
      </c>
      <c r="J560" s="40">
        <v>44759</v>
      </c>
      <c r="K560" s="29" t="b">
        <f t="shared" si="44"/>
        <v>0</v>
      </c>
      <c r="L560" s="29" t="str">
        <f t="shared" si="46"/>
        <v>No Discount</v>
      </c>
      <c r="M560" s="18" t="str">
        <f t="shared" si="45"/>
        <v>High Profit</v>
      </c>
    </row>
    <row r="561" spans="1:13" ht="30.75" thickBot="1" x14ac:dyDescent="0.3">
      <c r="A561" s="17" t="s">
        <v>1088</v>
      </c>
      <c r="B561" s="11" t="s">
        <v>48</v>
      </c>
      <c r="C561" s="11" t="s">
        <v>158</v>
      </c>
      <c r="D561" s="25" t="str">
        <f t="shared" si="48"/>
        <v>Item _Unknown_ FOO</v>
      </c>
      <c r="E561" s="27">
        <f t="shared" si="47"/>
        <v>20</v>
      </c>
      <c r="F561" s="12">
        <v>7</v>
      </c>
      <c r="G561" s="12">
        <v>140</v>
      </c>
      <c r="H561" s="11" t="s">
        <v>27</v>
      </c>
      <c r="I561" s="11" t="s">
        <v>16</v>
      </c>
      <c r="J561" s="41">
        <v>44805</v>
      </c>
      <c r="K561" s="29" t="b">
        <f t="shared" si="44"/>
        <v>0</v>
      </c>
      <c r="L561" s="29" t="str">
        <f t="shared" si="46"/>
        <v>No Discount</v>
      </c>
      <c r="M561" s="18" t="str">
        <f t="shared" si="45"/>
        <v>Loss</v>
      </c>
    </row>
    <row r="562" spans="1:13" ht="15.75" thickBot="1" x14ac:dyDescent="0.3">
      <c r="A562" s="16" t="s">
        <v>1089</v>
      </c>
      <c r="B562" s="5" t="s">
        <v>127</v>
      </c>
      <c r="C562" s="5" t="s">
        <v>42</v>
      </c>
      <c r="D562" s="25" t="str">
        <f t="shared" si="48"/>
        <v>Item _Unknown_ MIL</v>
      </c>
      <c r="E562" s="27">
        <f t="shared" si="47"/>
        <v>20</v>
      </c>
      <c r="F562" s="6">
        <v>2</v>
      </c>
      <c r="G562" s="6">
        <v>40</v>
      </c>
      <c r="H562" s="5" t="s">
        <v>51</v>
      </c>
      <c r="I562" s="5" t="s">
        <v>16</v>
      </c>
      <c r="J562" s="40">
        <v>45429</v>
      </c>
      <c r="K562" s="29" t="b">
        <f t="shared" si="44"/>
        <v>0</v>
      </c>
      <c r="L562" s="29" t="str">
        <f t="shared" si="46"/>
        <v>No Discount</v>
      </c>
      <c r="M562" s="18" t="str">
        <f t="shared" si="45"/>
        <v>Loss</v>
      </c>
    </row>
    <row r="563" spans="1:13" ht="15.75" thickBot="1" x14ac:dyDescent="0.3">
      <c r="A563" s="17" t="s">
        <v>1091</v>
      </c>
      <c r="B563" s="11" t="s">
        <v>60</v>
      </c>
      <c r="C563" s="11" t="s">
        <v>25</v>
      </c>
      <c r="D563" s="25" t="str">
        <f t="shared" si="48"/>
        <v>Item _Unknown_ BUT</v>
      </c>
      <c r="E563" s="27">
        <f t="shared" si="47"/>
        <v>20</v>
      </c>
      <c r="F563" s="12">
        <v>1</v>
      </c>
      <c r="G563" s="12">
        <v>20</v>
      </c>
      <c r="H563" s="11" t="s">
        <v>15</v>
      </c>
      <c r="I563" s="11" t="s">
        <v>16</v>
      </c>
      <c r="J563" s="41">
        <v>44616</v>
      </c>
      <c r="K563" s="29" t="b">
        <f t="shared" si="44"/>
        <v>0</v>
      </c>
      <c r="L563" s="29" t="str">
        <f t="shared" si="46"/>
        <v>No Discount</v>
      </c>
      <c r="M563" s="18" t="str">
        <f t="shared" si="45"/>
        <v>Loss</v>
      </c>
    </row>
    <row r="564" spans="1:13" ht="15.75" thickBot="1" x14ac:dyDescent="0.3">
      <c r="A564" s="16" t="s">
        <v>1092</v>
      </c>
      <c r="B564" s="5" t="s">
        <v>74</v>
      </c>
      <c r="C564" s="5" t="s">
        <v>13</v>
      </c>
      <c r="D564" s="25" t="str">
        <f t="shared" si="48"/>
        <v>Item _Unknown_ FUR</v>
      </c>
      <c r="E564" s="27">
        <f t="shared" si="47"/>
        <v>36.5</v>
      </c>
      <c r="F564" s="6">
        <v>2</v>
      </c>
      <c r="G564" s="6">
        <v>73</v>
      </c>
      <c r="H564" s="5" t="s">
        <v>51</v>
      </c>
      <c r="I564" s="5" t="s">
        <v>39</v>
      </c>
      <c r="J564" s="40">
        <v>45222</v>
      </c>
      <c r="K564" s="29" t="b">
        <f t="shared" si="44"/>
        <v>0</v>
      </c>
      <c r="L564" s="29" t="str">
        <f t="shared" si="46"/>
        <v>No Discount</v>
      </c>
      <c r="M564" s="18" t="str">
        <f t="shared" si="45"/>
        <v>High Profit</v>
      </c>
    </row>
    <row r="565" spans="1:13" ht="15.75" thickBot="1" x14ac:dyDescent="0.3">
      <c r="A565" s="16" t="s">
        <v>1096</v>
      </c>
      <c r="B565" s="5" t="s">
        <v>71</v>
      </c>
      <c r="C565" s="5" t="s">
        <v>30</v>
      </c>
      <c r="D565" s="25" t="str">
        <f>"Item _Unknown_ "&amp;UPPER(LEFT(C562,3))</f>
        <v>Item _Unknown_ FUR</v>
      </c>
      <c r="E565" s="27">
        <f t="shared" si="47"/>
        <v>26</v>
      </c>
      <c r="F565" s="6">
        <v>4</v>
      </c>
      <c r="G565" s="6">
        <v>104</v>
      </c>
      <c r="H565" s="5" t="s">
        <v>51</v>
      </c>
      <c r="I565" s="5" t="s">
        <v>16</v>
      </c>
      <c r="J565" s="40">
        <v>44728</v>
      </c>
      <c r="K565" s="29" t="b">
        <f t="shared" si="44"/>
        <v>0</v>
      </c>
      <c r="L565" s="29" t="str">
        <f t="shared" si="46"/>
        <v>No Discount</v>
      </c>
      <c r="M565" s="18" t="str">
        <f t="shared" si="45"/>
        <v>Medium</v>
      </c>
    </row>
    <row r="566" spans="1:13" ht="15.75" thickBot="1" x14ac:dyDescent="0.3">
      <c r="A566" s="17" t="s">
        <v>1099</v>
      </c>
      <c r="B566" s="11" t="s">
        <v>120</v>
      </c>
      <c r="C566" s="11" t="s">
        <v>42</v>
      </c>
      <c r="D566" s="25" t="str">
        <f>"Item _Unknown_ "&amp;UPPER(LEFT(C563,3))</f>
        <v>Item _Unknown_ BEV</v>
      </c>
      <c r="E566" s="27">
        <f t="shared" si="47"/>
        <v>21.5</v>
      </c>
      <c r="F566" s="12">
        <v>5</v>
      </c>
      <c r="G566" s="12">
        <v>107.5</v>
      </c>
      <c r="H566" s="11" t="s">
        <v>51</v>
      </c>
      <c r="I566" s="11" t="s">
        <v>16</v>
      </c>
      <c r="J566" s="41">
        <v>45288</v>
      </c>
      <c r="K566" s="29" t="b">
        <f t="shared" si="44"/>
        <v>0</v>
      </c>
      <c r="L566" s="29" t="str">
        <f t="shared" si="46"/>
        <v>No Discount</v>
      </c>
      <c r="M566" s="18" t="str">
        <f t="shared" si="45"/>
        <v>Loss</v>
      </c>
    </row>
    <row r="567" spans="1:13" ht="15.75" thickBot="1" x14ac:dyDescent="0.3">
      <c r="A567" s="16" t="s">
        <v>1100</v>
      </c>
      <c r="B567" s="5" t="s">
        <v>86</v>
      </c>
      <c r="C567" s="5" t="s">
        <v>20</v>
      </c>
      <c r="D567" s="25" t="str">
        <f>"Item _Unknown_ "&amp;UPPER(LEFT(C564,3))</f>
        <v>Item _Unknown_ PAT</v>
      </c>
      <c r="E567" s="27">
        <f t="shared" si="47"/>
        <v>29</v>
      </c>
      <c r="F567" s="6">
        <v>2</v>
      </c>
      <c r="G567" s="6">
        <v>58</v>
      </c>
      <c r="H567" s="5" t="s">
        <v>27</v>
      </c>
      <c r="I567" s="5" t="s">
        <v>39</v>
      </c>
      <c r="J567" s="40">
        <v>45629</v>
      </c>
      <c r="K567" s="29" t="b">
        <f t="shared" si="44"/>
        <v>0</v>
      </c>
      <c r="L567" s="29" t="str">
        <f t="shared" si="46"/>
        <v>No Discount</v>
      </c>
      <c r="M567" s="18" t="str">
        <f t="shared" si="45"/>
        <v>Medium</v>
      </c>
    </row>
    <row r="568" spans="1:13" ht="15.75" thickBot="1" x14ac:dyDescent="0.3">
      <c r="A568" s="17" t="s">
        <v>1101</v>
      </c>
      <c r="B568" s="11" t="s">
        <v>130</v>
      </c>
      <c r="C568" s="11" t="s">
        <v>25</v>
      </c>
      <c r="D568" s="25" t="str">
        <f>"Item _Unknown_ "&amp;UPPER(LEFT(C559,3))</f>
        <v>Item _Unknown_ BUT</v>
      </c>
      <c r="E568" s="27">
        <f t="shared" si="47"/>
        <v>33.5</v>
      </c>
      <c r="F568" s="12">
        <v>6</v>
      </c>
      <c r="G568" s="12">
        <v>201</v>
      </c>
      <c r="H568" s="11" t="s">
        <v>27</v>
      </c>
      <c r="I568" s="11" t="s">
        <v>16</v>
      </c>
      <c r="J568" s="41">
        <v>44578</v>
      </c>
      <c r="K568" s="29" t="b">
        <f t="shared" si="44"/>
        <v>0</v>
      </c>
      <c r="L568" s="29" t="str">
        <f t="shared" si="46"/>
        <v>No Discount</v>
      </c>
      <c r="M568" s="18" t="str">
        <f t="shared" si="45"/>
        <v>Medium</v>
      </c>
    </row>
    <row r="569" spans="1:13" ht="30.75" thickBot="1" x14ac:dyDescent="0.3">
      <c r="A569" s="16" t="s">
        <v>1102</v>
      </c>
      <c r="B569" s="5" t="s">
        <v>71</v>
      </c>
      <c r="C569" s="5" t="s">
        <v>158</v>
      </c>
      <c r="D569" s="25" t="str">
        <f t="shared" si="48"/>
        <v>Item _Unknown_ FOO</v>
      </c>
      <c r="E569" s="27">
        <f t="shared" si="47"/>
        <v>33.5</v>
      </c>
      <c r="F569" s="6">
        <v>7</v>
      </c>
      <c r="G569" s="6">
        <v>234.5</v>
      </c>
      <c r="H569" s="5" t="s">
        <v>27</v>
      </c>
      <c r="I569" s="5" t="s">
        <v>39</v>
      </c>
      <c r="J569" s="40">
        <v>45030</v>
      </c>
      <c r="K569" s="29" t="b">
        <f t="shared" si="44"/>
        <v>0</v>
      </c>
      <c r="L569" s="29" t="str">
        <f t="shared" si="46"/>
        <v>No Discount</v>
      </c>
      <c r="M569" s="18" t="str">
        <f t="shared" si="45"/>
        <v>Medium</v>
      </c>
    </row>
    <row r="570" spans="1:13" ht="15.75" thickBot="1" x14ac:dyDescent="0.3">
      <c r="A570" s="17" t="s">
        <v>1104</v>
      </c>
      <c r="B570" s="11" t="s">
        <v>48</v>
      </c>
      <c r="C570" s="11" t="s">
        <v>30</v>
      </c>
      <c r="D570" s="25" t="str">
        <f t="shared" si="48"/>
        <v>Item _Unknown_ FUR</v>
      </c>
      <c r="E570" s="27">
        <f t="shared" si="47"/>
        <v>29</v>
      </c>
      <c r="F570" s="12">
        <v>3</v>
      </c>
      <c r="G570" s="12">
        <v>87</v>
      </c>
      <c r="H570" s="11" t="s">
        <v>15</v>
      </c>
      <c r="I570" s="11" t="s">
        <v>39</v>
      </c>
      <c r="J570" s="41">
        <v>45622</v>
      </c>
      <c r="K570" s="29" t="b">
        <f t="shared" si="44"/>
        <v>0</v>
      </c>
      <c r="L570" s="29" t="str">
        <f t="shared" si="46"/>
        <v>No Discount</v>
      </c>
      <c r="M570" s="18" t="str">
        <f t="shared" si="45"/>
        <v>Medium</v>
      </c>
    </row>
    <row r="571" spans="1:13" ht="15.75" thickBot="1" x14ac:dyDescent="0.3">
      <c r="A571" s="16" t="s">
        <v>1106</v>
      </c>
      <c r="B571" s="5" t="s">
        <v>37</v>
      </c>
      <c r="C571" s="5" t="s">
        <v>30</v>
      </c>
      <c r="D571" s="25" t="str">
        <f t="shared" si="48"/>
        <v>Item _Unknown_ MIL</v>
      </c>
      <c r="E571" s="27">
        <f t="shared" si="47"/>
        <v>15.5</v>
      </c>
      <c r="F571" s="6">
        <v>6</v>
      </c>
      <c r="G571" s="6">
        <v>93</v>
      </c>
      <c r="H571" s="5" t="s">
        <v>27</v>
      </c>
      <c r="I571" s="5" t="s">
        <v>39</v>
      </c>
      <c r="J571" s="40">
        <v>45504</v>
      </c>
      <c r="K571" s="29" t="b">
        <f t="shared" si="44"/>
        <v>0</v>
      </c>
      <c r="L571" s="29" t="str">
        <f t="shared" si="46"/>
        <v>No Discount</v>
      </c>
      <c r="M571" s="18" t="str">
        <f t="shared" si="45"/>
        <v>Loss</v>
      </c>
    </row>
    <row r="572" spans="1:13" ht="30.75" thickBot="1" x14ac:dyDescent="0.3">
      <c r="A572" s="17" t="s">
        <v>1109</v>
      </c>
      <c r="B572" s="11" t="s">
        <v>44</v>
      </c>
      <c r="C572" s="11" t="s">
        <v>158</v>
      </c>
      <c r="D572" s="25" t="str">
        <f t="shared" si="48"/>
        <v>Item _Unknown_ BEV</v>
      </c>
      <c r="E572" s="27">
        <f t="shared" si="47"/>
        <v>26</v>
      </c>
      <c r="F572" s="12">
        <v>4</v>
      </c>
      <c r="G572" s="12">
        <v>104</v>
      </c>
      <c r="H572" s="11" t="s">
        <v>15</v>
      </c>
      <c r="I572" s="11" t="s">
        <v>39</v>
      </c>
      <c r="J572" s="41">
        <v>45546</v>
      </c>
      <c r="K572" s="29" t="b">
        <f t="shared" si="44"/>
        <v>0</v>
      </c>
      <c r="L572" s="29" t="str">
        <f t="shared" si="46"/>
        <v>No Discount</v>
      </c>
      <c r="M572" s="18" t="str">
        <f t="shared" si="45"/>
        <v>Medium</v>
      </c>
    </row>
    <row r="573" spans="1:13" ht="15.75" thickBot="1" x14ac:dyDescent="0.3">
      <c r="A573" s="16" t="s">
        <v>1110</v>
      </c>
      <c r="B573" s="5" t="s">
        <v>78</v>
      </c>
      <c r="C573" s="5" t="s">
        <v>30</v>
      </c>
      <c r="D573" s="25" t="str">
        <f t="shared" si="48"/>
        <v>Item _Unknown_ COM</v>
      </c>
      <c r="E573" s="27">
        <f t="shared" si="47"/>
        <v>8</v>
      </c>
      <c r="F573" s="6">
        <v>7</v>
      </c>
      <c r="G573" s="6">
        <v>56</v>
      </c>
      <c r="H573" s="5" t="s">
        <v>51</v>
      </c>
      <c r="I573" s="5" t="s">
        <v>16</v>
      </c>
      <c r="J573" s="40">
        <v>44834</v>
      </c>
      <c r="K573" s="29" t="b">
        <f t="shared" si="44"/>
        <v>0</v>
      </c>
      <c r="L573" s="29" t="str">
        <f t="shared" si="46"/>
        <v>No Discount</v>
      </c>
      <c r="M573" s="18" t="str">
        <f t="shared" si="45"/>
        <v>Loss</v>
      </c>
    </row>
    <row r="574" spans="1:13" ht="15.75" thickBot="1" x14ac:dyDescent="0.3">
      <c r="A574" s="17" t="s">
        <v>1112</v>
      </c>
      <c r="B574" s="11" t="s">
        <v>99</v>
      </c>
      <c r="C574" s="11" t="s">
        <v>30</v>
      </c>
      <c r="D574" s="25" t="str">
        <f t="shared" si="48"/>
        <v>Item _Unknown_ FOO</v>
      </c>
      <c r="E574" s="27">
        <f t="shared" si="47"/>
        <v>9.5</v>
      </c>
      <c r="F574" s="12">
        <v>3</v>
      </c>
      <c r="G574" s="12">
        <v>28.5</v>
      </c>
      <c r="H574" s="11" t="s">
        <v>27</v>
      </c>
      <c r="I574" s="11" t="s">
        <v>39</v>
      </c>
      <c r="J574" s="41">
        <v>44590</v>
      </c>
      <c r="K574" s="29" t="b">
        <f t="shared" si="44"/>
        <v>0</v>
      </c>
      <c r="L574" s="29" t="str">
        <f t="shared" si="46"/>
        <v>No Discount</v>
      </c>
      <c r="M574" s="18" t="str">
        <f t="shared" si="45"/>
        <v>Loss</v>
      </c>
    </row>
    <row r="575" spans="1:13" ht="30.75" thickBot="1" x14ac:dyDescent="0.3">
      <c r="A575" s="16" t="s">
        <v>1113</v>
      </c>
      <c r="B575" s="5" t="s">
        <v>44</v>
      </c>
      <c r="C575" s="5" t="s">
        <v>158</v>
      </c>
      <c r="D575" s="25" t="str">
        <f t="shared" si="48"/>
        <v>Item _Unknown_ FOO</v>
      </c>
      <c r="E575" s="27">
        <f t="shared" si="47"/>
        <v>21.5</v>
      </c>
      <c r="F575" s="6">
        <v>4</v>
      </c>
      <c r="G575" s="6">
        <v>86</v>
      </c>
      <c r="H575" s="5" t="s">
        <v>51</v>
      </c>
      <c r="I575" s="5" t="s">
        <v>16</v>
      </c>
      <c r="J575" s="40">
        <v>45569</v>
      </c>
      <c r="K575" s="29" t="b">
        <f t="shared" si="44"/>
        <v>0</v>
      </c>
      <c r="L575" s="29" t="str">
        <f t="shared" si="46"/>
        <v>No Discount</v>
      </c>
      <c r="M575" s="18" t="str">
        <f t="shared" si="45"/>
        <v>Loss</v>
      </c>
    </row>
    <row r="576" spans="1:13" ht="15.75" thickBot="1" x14ac:dyDescent="0.3">
      <c r="A576" s="17" t="s">
        <v>1114</v>
      </c>
      <c r="B576" s="11" t="s">
        <v>78</v>
      </c>
      <c r="C576" s="11" t="s">
        <v>20</v>
      </c>
      <c r="D576" s="25" t="str">
        <f t="shared" si="48"/>
        <v>Item _Unknown_ COM</v>
      </c>
      <c r="E576" s="27">
        <f t="shared" si="47"/>
        <v>9.5</v>
      </c>
      <c r="F576" s="12">
        <v>7</v>
      </c>
      <c r="G576" s="12">
        <v>66.5</v>
      </c>
      <c r="H576" s="11" t="s">
        <v>15</v>
      </c>
      <c r="I576" s="11" t="s">
        <v>39</v>
      </c>
      <c r="J576" s="41">
        <v>45319</v>
      </c>
      <c r="K576" s="29" t="b">
        <f t="shared" si="44"/>
        <v>0</v>
      </c>
      <c r="L576" s="29" t="str">
        <f t="shared" si="46"/>
        <v>No Discount</v>
      </c>
      <c r="M576" s="18" t="str">
        <f t="shared" si="45"/>
        <v>Loss</v>
      </c>
    </row>
    <row r="577" spans="1:13" ht="15.75" thickBot="1" x14ac:dyDescent="0.3">
      <c r="A577" s="16" t="s">
        <v>1115</v>
      </c>
      <c r="B577" s="5" t="s">
        <v>60</v>
      </c>
      <c r="C577" s="5" t="s">
        <v>49</v>
      </c>
      <c r="D577" s="25" t="str">
        <f t="shared" si="48"/>
        <v>Item _Unknown_ FOO</v>
      </c>
      <c r="E577" s="27">
        <f t="shared" si="47"/>
        <v>11</v>
      </c>
      <c r="F577" s="6">
        <v>5</v>
      </c>
      <c r="G577" s="6">
        <v>55</v>
      </c>
      <c r="H577" s="5" t="s">
        <v>51</v>
      </c>
      <c r="I577" s="5" t="s">
        <v>16</v>
      </c>
      <c r="J577" s="40">
        <v>45651</v>
      </c>
      <c r="K577" s="29" t="b">
        <f t="shared" si="44"/>
        <v>0</v>
      </c>
      <c r="L577" s="29" t="str">
        <f t="shared" si="46"/>
        <v>No Discount</v>
      </c>
      <c r="M577" s="18" t="str">
        <f t="shared" si="45"/>
        <v>Loss</v>
      </c>
    </row>
    <row r="578" spans="1:13" ht="15.75" thickBot="1" x14ac:dyDescent="0.3">
      <c r="A578" s="17" t="s">
        <v>1116</v>
      </c>
      <c r="B578" s="11" t="s">
        <v>130</v>
      </c>
      <c r="C578" s="11" t="s">
        <v>25</v>
      </c>
      <c r="D578" s="25" t="str">
        <f t="shared" si="48"/>
        <v>Item _Unknown_ FOO</v>
      </c>
      <c r="E578" s="27">
        <f t="shared" si="47"/>
        <v>15.5</v>
      </c>
      <c r="F578" s="12">
        <v>6</v>
      </c>
      <c r="G578" s="12">
        <v>93</v>
      </c>
      <c r="H578" s="11" t="s">
        <v>27</v>
      </c>
      <c r="I578" s="11" t="s">
        <v>39</v>
      </c>
      <c r="J578" s="41">
        <v>45115</v>
      </c>
      <c r="K578" s="29" t="b">
        <f t="shared" ref="K578:K618" si="49">IF(ROUND(E578*F578,2)=G578,FALSE,TRUE)</f>
        <v>0</v>
      </c>
      <c r="L578" s="29" t="str">
        <f t="shared" si="46"/>
        <v>No Discount</v>
      </c>
      <c r="M578" s="18" t="str">
        <f t="shared" si="45"/>
        <v>Loss</v>
      </c>
    </row>
    <row r="579" spans="1:13" ht="30.75" thickBot="1" x14ac:dyDescent="0.3">
      <c r="A579" s="16" t="s">
        <v>1117</v>
      </c>
      <c r="B579" s="5" t="s">
        <v>117</v>
      </c>
      <c r="C579" s="5" t="s">
        <v>75</v>
      </c>
      <c r="D579" s="25" t="str">
        <f t="shared" si="48"/>
        <v>Item _Unknown_ COM</v>
      </c>
      <c r="E579" s="27">
        <f t="shared" si="47"/>
        <v>12.5</v>
      </c>
      <c r="F579" s="6">
        <v>2</v>
      </c>
      <c r="G579" s="6">
        <v>25</v>
      </c>
      <c r="H579" s="5" t="s">
        <v>51</v>
      </c>
      <c r="I579" s="5" t="s">
        <v>16</v>
      </c>
      <c r="J579" s="40">
        <v>44997</v>
      </c>
      <c r="K579" s="29" t="b">
        <f t="shared" si="49"/>
        <v>0</v>
      </c>
      <c r="L579" s="29" t="str">
        <f t="shared" ref="L579:L618" si="50">IF(K579=FALSE,"No Discount","Discount Applied")</f>
        <v>No Discount</v>
      </c>
      <c r="M579" s="18" t="str">
        <f t="shared" ref="M579:M618" si="51">IF(E579&gt;=35,"High Profit",IF(E579&gt;=25,"Medium","Loss"))</f>
        <v>Loss</v>
      </c>
    </row>
    <row r="580" spans="1:13" ht="15.75" thickBot="1" x14ac:dyDescent="0.3">
      <c r="A580" s="17" t="s">
        <v>1118</v>
      </c>
      <c r="B580" s="11" t="s">
        <v>117</v>
      </c>
      <c r="C580" s="11" t="s">
        <v>42</v>
      </c>
      <c r="D580" s="25" t="str">
        <f t="shared" si="48"/>
        <v>Item _Unknown_ MIL</v>
      </c>
      <c r="E580" s="27">
        <f t="shared" si="47"/>
        <v>11</v>
      </c>
      <c r="F580" s="12">
        <v>5</v>
      </c>
      <c r="G580" s="12">
        <v>55</v>
      </c>
      <c r="H580" s="11" t="s">
        <v>27</v>
      </c>
      <c r="I580" s="11" t="s">
        <v>39</v>
      </c>
      <c r="J580" s="41">
        <v>45335</v>
      </c>
      <c r="K580" s="29" t="b">
        <f t="shared" si="49"/>
        <v>0</v>
      </c>
      <c r="L580" s="29" t="str">
        <f t="shared" si="50"/>
        <v>No Discount</v>
      </c>
      <c r="M580" s="18" t="str">
        <f t="shared" si="51"/>
        <v>Loss</v>
      </c>
    </row>
    <row r="581" spans="1:13" ht="15.75" thickBot="1" x14ac:dyDescent="0.3">
      <c r="A581" s="16" t="s">
        <v>1119</v>
      </c>
      <c r="B581" s="5" t="s">
        <v>106</v>
      </c>
      <c r="C581" s="5" t="s">
        <v>49</v>
      </c>
      <c r="D581" s="25" t="str">
        <f t="shared" si="48"/>
        <v>Item _Unknown_ BUT</v>
      </c>
      <c r="E581" s="27">
        <f t="shared" si="47"/>
        <v>33.5</v>
      </c>
      <c r="F581" s="6">
        <v>2</v>
      </c>
      <c r="G581" s="6">
        <v>67</v>
      </c>
      <c r="H581" s="5" t="s">
        <v>51</v>
      </c>
      <c r="I581" s="5" t="s">
        <v>39</v>
      </c>
      <c r="J581" s="40">
        <v>45536</v>
      </c>
      <c r="K581" s="29" t="b">
        <f t="shared" si="49"/>
        <v>0</v>
      </c>
      <c r="L581" s="29" t="str">
        <f t="shared" si="50"/>
        <v>No Discount</v>
      </c>
      <c r="M581" s="18" t="str">
        <f t="shared" si="51"/>
        <v>Medium</v>
      </c>
    </row>
    <row r="582" spans="1:13" ht="15.75" thickBot="1" x14ac:dyDescent="0.3">
      <c r="A582" s="17" t="s">
        <v>1120</v>
      </c>
      <c r="B582" s="11" t="s">
        <v>206</v>
      </c>
      <c r="C582" s="11" t="s">
        <v>49</v>
      </c>
      <c r="D582" s="25" t="str">
        <f t="shared" si="48"/>
        <v>Item _Unknown_ BEV</v>
      </c>
      <c r="E582" s="27">
        <f t="shared" si="47"/>
        <v>15.5</v>
      </c>
      <c r="F582" s="12">
        <v>9</v>
      </c>
      <c r="G582" s="12">
        <v>139.5</v>
      </c>
      <c r="H582" s="11" t="s">
        <v>15</v>
      </c>
      <c r="I582" s="11" t="s">
        <v>16</v>
      </c>
      <c r="J582" s="41">
        <v>44625</v>
      </c>
      <c r="K582" s="29" t="b">
        <f t="shared" si="49"/>
        <v>0</v>
      </c>
      <c r="L582" s="29" t="str">
        <f t="shared" si="50"/>
        <v>No Discount</v>
      </c>
      <c r="M582" s="18" t="str">
        <f t="shared" si="51"/>
        <v>Loss</v>
      </c>
    </row>
    <row r="583" spans="1:13" ht="15.75" thickBot="1" x14ac:dyDescent="0.3">
      <c r="A583" s="16" t="s">
        <v>1121</v>
      </c>
      <c r="B583" s="5" t="s">
        <v>48</v>
      </c>
      <c r="C583" s="5" t="s">
        <v>25</v>
      </c>
      <c r="D583" s="25" t="str">
        <f t="shared" si="48"/>
        <v>Item _Unknown_ ELE</v>
      </c>
      <c r="E583" s="27">
        <f t="shared" si="47"/>
        <v>30.5</v>
      </c>
      <c r="F583" s="6">
        <v>1</v>
      </c>
      <c r="G583" s="6">
        <v>30.5</v>
      </c>
      <c r="H583" s="5" t="s">
        <v>15</v>
      </c>
      <c r="I583" s="5" t="s">
        <v>39</v>
      </c>
      <c r="J583" s="40">
        <v>45573</v>
      </c>
      <c r="K583" s="29" t="b">
        <f t="shared" si="49"/>
        <v>0</v>
      </c>
      <c r="L583" s="29" t="str">
        <f t="shared" si="50"/>
        <v>No Discount</v>
      </c>
      <c r="M583" s="18" t="str">
        <f t="shared" si="51"/>
        <v>Medium</v>
      </c>
    </row>
    <row r="584" spans="1:13" ht="30.75" thickBot="1" x14ac:dyDescent="0.3">
      <c r="A584" s="17" t="s">
        <v>1122</v>
      </c>
      <c r="B584" s="11" t="s">
        <v>19</v>
      </c>
      <c r="C584" s="11" t="s">
        <v>158</v>
      </c>
      <c r="D584" s="25" t="str">
        <f t="shared" si="48"/>
        <v>Item _Unknown_ FUR</v>
      </c>
      <c r="E584" s="27">
        <f t="shared" si="47"/>
        <v>20</v>
      </c>
      <c r="F584" s="12">
        <v>1</v>
      </c>
      <c r="G584" s="12">
        <v>20</v>
      </c>
      <c r="H584" s="11" t="s">
        <v>27</v>
      </c>
      <c r="I584" s="11" t="s">
        <v>16</v>
      </c>
      <c r="J584" s="41">
        <v>45036</v>
      </c>
      <c r="K584" s="29" t="b">
        <f t="shared" si="49"/>
        <v>0</v>
      </c>
      <c r="L584" s="29" t="str">
        <f t="shared" si="50"/>
        <v>No Discount</v>
      </c>
      <c r="M584" s="18" t="str">
        <f t="shared" si="51"/>
        <v>Loss</v>
      </c>
    </row>
    <row r="585" spans="1:13" ht="15.75" thickBot="1" x14ac:dyDescent="0.3">
      <c r="A585" s="16" t="s">
        <v>1123</v>
      </c>
      <c r="B585" s="5" t="s">
        <v>44</v>
      </c>
      <c r="C585" s="5" t="s">
        <v>30</v>
      </c>
      <c r="D585" s="25" t="str">
        <f t="shared" si="48"/>
        <v>Item _Unknown_ BUT</v>
      </c>
      <c r="E585" s="27">
        <f t="shared" si="47"/>
        <v>9.5</v>
      </c>
      <c r="F585" s="6">
        <v>9</v>
      </c>
      <c r="G585" s="6">
        <v>85.5</v>
      </c>
      <c r="H585" s="5" t="s">
        <v>27</v>
      </c>
      <c r="I585" s="5" t="s">
        <v>39</v>
      </c>
      <c r="J585" s="40">
        <v>45636</v>
      </c>
      <c r="K585" s="29" t="b">
        <f t="shared" si="49"/>
        <v>0</v>
      </c>
      <c r="L585" s="29" t="str">
        <f t="shared" si="50"/>
        <v>No Discount</v>
      </c>
      <c r="M585" s="18" t="str">
        <f t="shared" si="51"/>
        <v>Loss</v>
      </c>
    </row>
    <row r="586" spans="1:13" ht="15.75" thickBot="1" x14ac:dyDescent="0.3">
      <c r="A586" s="17" t="s">
        <v>1124</v>
      </c>
      <c r="B586" s="11" t="s">
        <v>206</v>
      </c>
      <c r="C586" s="11" t="s">
        <v>42</v>
      </c>
      <c r="D586" s="25" t="str">
        <f t="shared" si="48"/>
        <v>Item _Unknown_ BUT</v>
      </c>
      <c r="E586" s="27">
        <f t="shared" si="47"/>
        <v>24.5</v>
      </c>
      <c r="F586" s="12">
        <v>2</v>
      </c>
      <c r="G586" s="12">
        <v>49</v>
      </c>
      <c r="H586" s="11" t="s">
        <v>15</v>
      </c>
      <c r="I586" s="11" t="s">
        <v>39</v>
      </c>
      <c r="J586" s="41">
        <v>44680</v>
      </c>
      <c r="K586" s="29" t="b">
        <f t="shared" si="49"/>
        <v>0</v>
      </c>
      <c r="L586" s="29" t="str">
        <f t="shared" si="50"/>
        <v>No Discount</v>
      </c>
      <c r="M586" s="18" t="str">
        <f t="shared" si="51"/>
        <v>Loss</v>
      </c>
    </row>
    <row r="587" spans="1:13" ht="15.75" thickBot="1" x14ac:dyDescent="0.3">
      <c r="A587" s="16" t="s">
        <v>1125</v>
      </c>
      <c r="B587" s="5" t="s">
        <v>130</v>
      </c>
      <c r="C587" s="5" t="s">
        <v>25</v>
      </c>
      <c r="D587" s="25" t="str">
        <f t="shared" si="48"/>
        <v>Item _Unknown_ BEV</v>
      </c>
      <c r="E587" s="27">
        <f t="shared" si="47"/>
        <v>33.5</v>
      </c>
      <c r="F587" s="6">
        <v>5</v>
      </c>
      <c r="G587" s="6">
        <v>167.5</v>
      </c>
      <c r="H587" s="5" t="s">
        <v>15</v>
      </c>
      <c r="I587" s="5" t="s">
        <v>16</v>
      </c>
      <c r="J587" s="40">
        <v>45302</v>
      </c>
      <c r="K587" s="29" t="b">
        <f t="shared" si="49"/>
        <v>0</v>
      </c>
      <c r="L587" s="29" t="str">
        <f t="shared" si="50"/>
        <v>No Discount</v>
      </c>
      <c r="M587" s="18" t="str">
        <f t="shared" si="51"/>
        <v>Medium</v>
      </c>
    </row>
    <row r="588" spans="1:13" ht="15.75" thickBot="1" x14ac:dyDescent="0.3">
      <c r="A588" s="17" t="s">
        <v>1126</v>
      </c>
      <c r="B588" s="11" t="s">
        <v>12</v>
      </c>
      <c r="C588" s="11" t="s">
        <v>49</v>
      </c>
      <c r="D588" s="25" t="str">
        <f t="shared" si="48"/>
        <v>Item _Unknown_ COM</v>
      </c>
      <c r="E588" s="27">
        <f t="shared" si="47"/>
        <v>33.5</v>
      </c>
      <c r="F588" s="12">
        <v>2</v>
      </c>
      <c r="G588" s="12">
        <v>67</v>
      </c>
      <c r="H588" s="11" t="s">
        <v>27</v>
      </c>
      <c r="I588" s="11" t="s">
        <v>39</v>
      </c>
      <c r="J588" s="41">
        <v>44997</v>
      </c>
      <c r="K588" s="29" t="b">
        <f t="shared" si="49"/>
        <v>0</v>
      </c>
      <c r="L588" s="29" t="str">
        <f t="shared" si="50"/>
        <v>No Discount</v>
      </c>
      <c r="M588" s="18" t="str">
        <f t="shared" si="51"/>
        <v>Medium</v>
      </c>
    </row>
    <row r="589" spans="1:13" ht="15.75" thickBot="1" x14ac:dyDescent="0.3">
      <c r="A589" s="16" t="s">
        <v>1127</v>
      </c>
      <c r="B589" s="5" t="s">
        <v>136</v>
      </c>
      <c r="C589" s="5" t="s">
        <v>25</v>
      </c>
      <c r="D589" s="25" t="str">
        <f t="shared" si="48"/>
        <v>Item _Unknown_ FOO</v>
      </c>
      <c r="E589" s="27">
        <f t="shared" si="47"/>
        <v>20</v>
      </c>
      <c r="F589" s="6">
        <v>3</v>
      </c>
      <c r="G589" s="6">
        <v>60</v>
      </c>
      <c r="H589" s="5" t="s">
        <v>27</v>
      </c>
      <c r="I589" s="5" t="s">
        <v>16</v>
      </c>
      <c r="J589" s="40">
        <v>44881</v>
      </c>
      <c r="K589" s="29" t="b">
        <f t="shared" si="49"/>
        <v>0</v>
      </c>
      <c r="L589" s="29" t="str">
        <f t="shared" si="50"/>
        <v>No Discount</v>
      </c>
      <c r="M589" s="18" t="str">
        <f t="shared" si="51"/>
        <v>Loss</v>
      </c>
    </row>
    <row r="590" spans="1:13" ht="15.75" thickBot="1" x14ac:dyDescent="0.3">
      <c r="A590" s="17" t="s">
        <v>1128</v>
      </c>
      <c r="B590" s="11" t="s">
        <v>29</v>
      </c>
      <c r="C590" s="11" t="s">
        <v>25</v>
      </c>
      <c r="D590" s="25" t="str">
        <f t="shared" si="48"/>
        <v>Item _Unknown_ FUR</v>
      </c>
      <c r="E590" s="27">
        <f t="shared" si="47"/>
        <v>15.5</v>
      </c>
      <c r="F590" s="12">
        <v>4</v>
      </c>
      <c r="G590" s="12">
        <v>62</v>
      </c>
      <c r="H590" s="11" t="s">
        <v>51</v>
      </c>
      <c r="I590" s="11" t="s">
        <v>39</v>
      </c>
      <c r="J590" s="41">
        <v>44991</v>
      </c>
      <c r="K590" s="29" t="b">
        <f t="shared" si="49"/>
        <v>0</v>
      </c>
      <c r="L590" s="29" t="str">
        <f t="shared" si="50"/>
        <v>No Discount</v>
      </c>
      <c r="M590" s="18" t="str">
        <f t="shared" si="51"/>
        <v>Loss</v>
      </c>
    </row>
    <row r="591" spans="1:13" ht="15.75" thickBot="1" x14ac:dyDescent="0.3">
      <c r="A591" s="16" t="s">
        <v>1129</v>
      </c>
      <c r="B591" s="5" t="s">
        <v>94</v>
      </c>
      <c r="C591" s="5" t="s">
        <v>30</v>
      </c>
      <c r="D591" s="25" t="str">
        <f t="shared" si="48"/>
        <v>Item _Unknown_ BEV</v>
      </c>
      <c r="E591" s="27">
        <f t="shared" si="47"/>
        <v>12.5</v>
      </c>
      <c r="F591" s="6">
        <v>5</v>
      </c>
      <c r="G591" s="6">
        <v>62.5</v>
      </c>
      <c r="H591" s="5" t="s">
        <v>27</v>
      </c>
      <c r="I591" s="5" t="s">
        <v>39</v>
      </c>
      <c r="J591" s="40">
        <v>44657</v>
      </c>
      <c r="K591" s="29" t="b">
        <f t="shared" si="49"/>
        <v>0</v>
      </c>
      <c r="L591" s="29" t="str">
        <f t="shared" si="50"/>
        <v>No Discount</v>
      </c>
      <c r="M591" s="18" t="str">
        <f t="shared" si="51"/>
        <v>Loss</v>
      </c>
    </row>
    <row r="592" spans="1:13" ht="15.75" thickBot="1" x14ac:dyDescent="0.3">
      <c r="A592" s="17" t="s">
        <v>1130</v>
      </c>
      <c r="B592" s="11" t="s">
        <v>37</v>
      </c>
      <c r="C592" s="11" t="s">
        <v>42</v>
      </c>
      <c r="D592" s="25" t="str">
        <f t="shared" si="48"/>
        <v>Item _Unknown_ BUT</v>
      </c>
      <c r="E592" s="27">
        <f t="shared" si="47"/>
        <v>11</v>
      </c>
      <c r="F592" s="12">
        <v>5</v>
      </c>
      <c r="G592" s="12">
        <v>55</v>
      </c>
      <c r="H592" s="11" t="s">
        <v>27</v>
      </c>
      <c r="I592" s="11" t="s">
        <v>39</v>
      </c>
      <c r="J592" s="41">
        <v>45345</v>
      </c>
      <c r="K592" s="29" t="b">
        <f t="shared" si="49"/>
        <v>0</v>
      </c>
      <c r="L592" s="29" t="str">
        <f t="shared" si="50"/>
        <v>No Discount</v>
      </c>
      <c r="M592" s="18" t="str">
        <f t="shared" si="51"/>
        <v>Loss</v>
      </c>
    </row>
    <row r="593" spans="1:13" ht="15.75" thickBot="1" x14ac:dyDescent="0.3">
      <c r="A593" s="16" t="s">
        <v>1132</v>
      </c>
      <c r="B593" s="5" t="s">
        <v>90</v>
      </c>
      <c r="C593" s="5" t="s">
        <v>30</v>
      </c>
      <c r="D593" s="25" t="str">
        <f t="shared" si="48"/>
        <v>Item _Unknown_ BEV</v>
      </c>
      <c r="E593" s="27">
        <f t="shared" si="47"/>
        <v>12.5</v>
      </c>
      <c r="F593" s="6">
        <v>3</v>
      </c>
      <c r="G593" s="6">
        <v>37.5</v>
      </c>
      <c r="H593" s="5" t="s">
        <v>51</v>
      </c>
      <c r="I593" s="5" t="s">
        <v>16</v>
      </c>
      <c r="J593" s="40">
        <v>44745</v>
      </c>
      <c r="K593" s="29" t="b">
        <f t="shared" si="49"/>
        <v>0</v>
      </c>
      <c r="L593" s="29" t="str">
        <f t="shared" si="50"/>
        <v>No Discount</v>
      </c>
      <c r="M593" s="18" t="str">
        <f t="shared" si="51"/>
        <v>Loss</v>
      </c>
    </row>
    <row r="594" spans="1:13" ht="30.75" thickBot="1" x14ac:dyDescent="0.3">
      <c r="A594" s="17" t="s">
        <v>1133</v>
      </c>
      <c r="B594" s="11" t="s">
        <v>117</v>
      </c>
      <c r="C594" s="11" t="s">
        <v>75</v>
      </c>
      <c r="D594" s="25" t="str">
        <f t="shared" si="48"/>
        <v>Item _Unknown_ BEV</v>
      </c>
      <c r="E594" s="27">
        <f t="shared" si="47"/>
        <v>18.5</v>
      </c>
      <c r="F594" s="12">
        <v>3</v>
      </c>
      <c r="G594" s="12">
        <v>55.5</v>
      </c>
      <c r="H594" s="11" t="s">
        <v>27</v>
      </c>
      <c r="I594" s="11" t="s">
        <v>16</v>
      </c>
      <c r="J594" s="41">
        <v>45295</v>
      </c>
      <c r="K594" s="29" t="b">
        <f t="shared" si="49"/>
        <v>0</v>
      </c>
      <c r="L594" s="29" t="str">
        <f t="shared" si="50"/>
        <v>No Discount</v>
      </c>
      <c r="M594" s="18" t="str">
        <f t="shared" si="51"/>
        <v>Loss</v>
      </c>
    </row>
    <row r="595" spans="1:13" ht="30.75" thickBot="1" x14ac:dyDescent="0.3">
      <c r="A595" s="16" t="s">
        <v>1134</v>
      </c>
      <c r="B595" s="5" t="s">
        <v>136</v>
      </c>
      <c r="C595" s="5" t="s">
        <v>75</v>
      </c>
      <c r="D595" s="25" t="str">
        <f t="shared" si="48"/>
        <v>Item _Unknown_ FOO</v>
      </c>
      <c r="E595" s="27">
        <f t="shared" si="47"/>
        <v>35</v>
      </c>
      <c r="F595" s="6">
        <v>5</v>
      </c>
      <c r="G595" s="6">
        <v>175</v>
      </c>
      <c r="H595" s="5" t="s">
        <v>27</v>
      </c>
      <c r="I595" s="5" t="s">
        <v>16</v>
      </c>
      <c r="J595" s="40">
        <v>44783</v>
      </c>
      <c r="K595" s="29" t="b">
        <f t="shared" si="49"/>
        <v>0</v>
      </c>
      <c r="L595" s="29" t="str">
        <f t="shared" si="50"/>
        <v>No Discount</v>
      </c>
      <c r="M595" s="18" t="str">
        <f t="shared" si="51"/>
        <v>High Profit</v>
      </c>
    </row>
    <row r="596" spans="1:13" ht="15.75" thickBot="1" x14ac:dyDescent="0.3">
      <c r="A596" s="17" t="s">
        <v>1135</v>
      </c>
      <c r="B596" s="11" t="s">
        <v>48</v>
      </c>
      <c r="C596" s="11" t="s">
        <v>49</v>
      </c>
      <c r="D596" s="25" t="str">
        <f t="shared" si="48"/>
        <v>Item _Unknown_ FUR</v>
      </c>
      <c r="E596" s="27">
        <f t="shared" si="47"/>
        <v>27.5</v>
      </c>
      <c r="F596" s="12">
        <v>4</v>
      </c>
      <c r="G596" s="12">
        <v>110</v>
      </c>
      <c r="H596" s="11" t="s">
        <v>15</v>
      </c>
      <c r="I596" s="11" t="s">
        <v>39</v>
      </c>
      <c r="J596" s="41">
        <v>44696</v>
      </c>
      <c r="K596" s="29" t="b">
        <f t="shared" si="49"/>
        <v>0</v>
      </c>
      <c r="L596" s="29" t="str">
        <f t="shared" si="50"/>
        <v>No Discount</v>
      </c>
      <c r="M596" s="18" t="str">
        <f t="shared" si="51"/>
        <v>Medium</v>
      </c>
    </row>
    <row r="597" spans="1:13" ht="15.75" thickBot="1" x14ac:dyDescent="0.3">
      <c r="A597" s="17" t="s">
        <v>1137</v>
      </c>
      <c r="B597" s="11" t="s">
        <v>74</v>
      </c>
      <c r="C597" s="11" t="s">
        <v>42</v>
      </c>
      <c r="D597" s="25" t="str">
        <f>"Item _Unknown_ "&amp;UPPER(LEFT(C594,3))</f>
        <v>Item _Unknown_ ELE</v>
      </c>
      <c r="E597" s="27">
        <f t="shared" si="47"/>
        <v>12.5</v>
      </c>
      <c r="F597" s="12">
        <v>9</v>
      </c>
      <c r="G597" s="12">
        <v>112.5</v>
      </c>
      <c r="H597" s="11" t="s">
        <v>27</v>
      </c>
      <c r="I597" s="11" t="s">
        <v>39</v>
      </c>
      <c r="J597" s="41">
        <v>45437</v>
      </c>
      <c r="K597" s="29" t="b">
        <f t="shared" si="49"/>
        <v>0</v>
      </c>
      <c r="L597" s="29" t="str">
        <f t="shared" si="50"/>
        <v>No Discount</v>
      </c>
      <c r="M597" s="18" t="str">
        <f t="shared" si="51"/>
        <v>Loss</v>
      </c>
    </row>
    <row r="598" spans="1:13" ht="15.75" thickBot="1" x14ac:dyDescent="0.3">
      <c r="A598" s="16" t="s">
        <v>1139</v>
      </c>
      <c r="B598" s="5" t="s">
        <v>78</v>
      </c>
      <c r="C598" s="5" t="s">
        <v>42</v>
      </c>
      <c r="D598" s="25" t="str">
        <f>"Item _Unknown_ "&amp;UPPER(LEFT(C595,3))</f>
        <v>Item _Unknown_ ELE</v>
      </c>
      <c r="E598" s="27">
        <f t="shared" si="47"/>
        <v>39.5</v>
      </c>
      <c r="F598" s="6">
        <v>1</v>
      </c>
      <c r="G598" s="6">
        <v>39.5</v>
      </c>
      <c r="H598" s="5" t="s">
        <v>15</v>
      </c>
      <c r="I598" s="5" t="s">
        <v>39</v>
      </c>
      <c r="J598" s="40">
        <v>45648</v>
      </c>
      <c r="K598" s="29" t="b">
        <f t="shared" si="49"/>
        <v>0</v>
      </c>
      <c r="L598" s="29" t="str">
        <f t="shared" si="50"/>
        <v>No Discount</v>
      </c>
      <c r="M598" s="18" t="str">
        <f t="shared" si="51"/>
        <v>High Profit</v>
      </c>
    </row>
    <row r="599" spans="1:13" ht="30.75" thickBot="1" x14ac:dyDescent="0.3">
      <c r="A599" s="17" t="s">
        <v>1141</v>
      </c>
      <c r="B599" s="11" t="s">
        <v>48</v>
      </c>
      <c r="C599" s="11" t="s">
        <v>158</v>
      </c>
      <c r="D599" s="25" t="str">
        <f>"Item _Unknown_ "&amp;UPPER(LEFT(C596,3))</f>
        <v>Item _Unknown_ BUT</v>
      </c>
      <c r="E599" s="27">
        <f t="shared" si="47"/>
        <v>29</v>
      </c>
      <c r="F599" s="12">
        <v>6</v>
      </c>
      <c r="G599" s="12">
        <v>174</v>
      </c>
      <c r="H599" s="11" t="s">
        <v>27</v>
      </c>
      <c r="I599" s="11" t="s">
        <v>16</v>
      </c>
      <c r="J599" s="41">
        <v>44575</v>
      </c>
      <c r="K599" s="29" t="b">
        <f t="shared" si="49"/>
        <v>0</v>
      </c>
      <c r="L599" s="29" t="str">
        <f t="shared" si="50"/>
        <v>No Discount</v>
      </c>
      <c r="M599" s="18" t="str">
        <f t="shared" si="51"/>
        <v>Medium</v>
      </c>
    </row>
    <row r="600" spans="1:13" ht="15.75" thickBot="1" x14ac:dyDescent="0.3">
      <c r="A600" s="16" t="s">
        <v>1142</v>
      </c>
      <c r="B600" s="5" t="s">
        <v>140</v>
      </c>
      <c r="C600" s="5" t="s">
        <v>20</v>
      </c>
      <c r="D600" s="25" t="str">
        <f>"Item _Unknown_ "&amp;UPPER(LEFT(C591,3))</f>
        <v>Item _Unknown_ FOO</v>
      </c>
      <c r="E600" s="27">
        <f t="shared" si="47"/>
        <v>27.5</v>
      </c>
      <c r="F600" s="6">
        <v>1</v>
      </c>
      <c r="G600" s="6">
        <v>27.5</v>
      </c>
      <c r="H600" s="5" t="s">
        <v>27</v>
      </c>
      <c r="I600" s="5" t="s">
        <v>16</v>
      </c>
      <c r="J600" s="40">
        <v>44810</v>
      </c>
      <c r="K600" s="29" t="b">
        <f t="shared" si="49"/>
        <v>0</v>
      </c>
      <c r="L600" s="29" t="str">
        <f t="shared" si="50"/>
        <v>No Discount</v>
      </c>
      <c r="M600" s="18" t="str">
        <f t="shared" si="51"/>
        <v>Medium</v>
      </c>
    </row>
    <row r="601" spans="1:13" ht="15.75" thickBot="1" x14ac:dyDescent="0.3">
      <c r="A601" s="17" t="s">
        <v>1143</v>
      </c>
      <c r="B601" s="11" t="s">
        <v>106</v>
      </c>
      <c r="C601" s="11" t="s">
        <v>13</v>
      </c>
      <c r="D601" s="25" t="str">
        <f t="shared" si="48"/>
        <v>Item _Unknown_ FUR</v>
      </c>
      <c r="E601" s="27">
        <f t="shared" si="47"/>
        <v>15.5</v>
      </c>
      <c r="F601" s="12">
        <v>10</v>
      </c>
      <c r="G601" s="12">
        <v>155</v>
      </c>
      <c r="H601" s="11" t="s">
        <v>15</v>
      </c>
      <c r="I601" s="11" t="s">
        <v>39</v>
      </c>
      <c r="J601" s="41">
        <v>44880</v>
      </c>
      <c r="K601" s="29" t="b">
        <f t="shared" si="49"/>
        <v>0</v>
      </c>
      <c r="L601" s="29" t="str">
        <f t="shared" si="50"/>
        <v>No Discount</v>
      </c>
      <c r="M601" s="18" t="str">
        <f t="shared" si="51"/>
        <v>Loss</v>
      </c>
    </row>
    <row r="602" spans="1:13" ht="30.75" thickBot="1" x14ac:dyDescent="0.3">
      <c r="A602" s="16" t="s">
        <v>1144</v>
      </c>
      <c r="B602" s="5" t="s">
        <v>86</v>
      </c>
      <c r="C602" s="5" t="s">
        <v>75</v>
      </c>
      <c r="D602" s="25" t="str">
        <f t="shared" si="48"/>
        <v>Item _Unknown_ FUR</v>
      </c>
      <c r="E602" s="27">
        <f t="shared" si="47"/>
        <v>15.5</v>
      </c>
      <c r="F602" s="6">
        <v>3</v>
      </c>
      <c r="G602" s="6">
        <v>46.5</v>
      </c>
      <c r="H602" s="5" t="s">
        <v>51</v>
      </c>
      <c r="I602" s="5" t="s">
        <v>16</v>
      </c>
      <c r="J602" s="40">
        <v>45097</v>
      </c>
      <c r="K602" s="29" t="b">
        <f t="shared" si="49"/>
        <v>0</v>
      </c>
      <c r="L602" s="29" t="str">
        <f t="shared" si="50"/>
        <v>No Discount</v>
      </c>
      <c r="M602" s="18" t="str">
        <f t="shared" si="51"/>
        <v>Loss</v>
      </c>
    </row>
    <row r="603" spans="1:13" ht="30.75" thickBot="1" x14ac:dyDescent="0.3">
      <c r="A603" s="17" t="s">
        <v>1145</v>
      </c>
      <c r="B603" s="11" t="s">
        <v>149</v>
      </c>
      <c r="C603" s="11" t="s">
        <v>158</v>
      </c>
      <c r="D603" s="25" t="str">
        <f t="shared" si="48"/>
        <v>Item _Unknown_ COM</v>
      </c>
      <c r="E603" s="27">
        <f t="shared" si="47"/>
        <v>27.5</v>
      </c>
      <c r="F603" s="12">
        <v>5</v>
      </c>
      <c r="G603" s="12">
        <v>137.5</v>
      </c>
      <c r="H603" s="11" t="s">
        <v>15</v>
      </c>
      <c r="I603" s="11" t="s">
        <v>39</v>
      </c>
      <c r="J603" s="41">
        <v>44648</v>
      </c>
      <c r="K603" s="29" t="b">
        <f t="shared" si="49"/>
        <v>0</v>
      </c>
      <c r="L603" s="29" t="str">
        <f t="shared" si="50"/>
        <v>No Discount</v>
      </c>
      <c r="M603" s="18" t="str">
        <f t="shared" si="51"/>
        <v>Medium</v>
      </c>
    </row>
    <row r="604" spans="1:13" ht="30.75" thickBot="1" x14ac:dyDescent="0.3">
      <c r="A604" s="16" t="s">
        <v>1147</v>
      </c>
      <c r="B604" s="5" t="s">
        <v>44</v>
      </c>
      <c r="C604" s="5" t="s">
        <v>75</v>
      </c>
      <c r="D604" s="25" t="str">
        <f t="shared" si="48"/>
        <v>Item _Unknown_ MIL</v>
      </c>
      <c r="E604" s="27">
        <f t="shared" si="47"/>
        <v>38</v>
      </c>
      <c r="F604" s="6">
        <v>9</v>
      </c>
      <c r="G604" s="6">
        <v>342</v>
      </c>
      <c r="H604" s="5" t="s">
        <v>51</v>
      </c>
      <c r="I604" s="5" t="s">
        <v>16</v>
      </c>
      <c r="J604" s="40">
        <v>45410</v>
      </c>
      <c r="K604" s="29" t="b">
        <f t="shared" si="49"/>
        <v>0</v>
      </c>
      <c r="L604" s="29" t="str">
        <f t="shared" si="50"/>
        <v>No Discount</v>
      </c>
      <c r="M604" s="18" t="str">
        <f t="shared" si="51"/>
        <v>High Profit</v>
      </c>
    </row>
    <row r="605" spans="1:13" ht="15.75" thickBot="1" x14ac:dyDescent="0.3">
      <c r="A605" s="17" t="s">
        <v>1149</v>
      </c>
      <c r="B605" s="11" t="s">
        <v>120</v>
      </c>
      <c r="C605" s="11" t="s">
        <v>20</v>
      </c>
      <c r="D605" s="25" t="str">
        <f t="shared" si="48"/>
        <v>Item _Unknown_ PAT</v>
      </c>
      <c r="E605" s="27">
        <f t="shared" si="47"/>
        <v>20</v>
      </c>
      <c r="F605" s="12">
        <v>1</v>
      </c>
      <c r="G605" s="12">
        <v>20</v>
      </c>
      <c r="H605" s="11" t="s">
        <v>15</v>
      </c>
      <c r="I605" s="11" t="s">
        <v>39</v>
      </c>
      <c r="J605" s="41">
        <v>44659</v>
      </c>
      <c r="K605" s="29" t="b">
        <f t="shared" si="49"/>
        <v>0</v>
      </c>
      <c r="L605" s="29" t="str">
        <f t="shared" si="50"/>
        <v>No Discount</v>
      </c>
      <c r="M605" s="18" t="str">
        <f t="shared" si="51"/>
        <v>Loss</v>
      </c>
    </row>
    <row r="606" spans="1:13" ht="15.75" thickBot="1" x14ac:dyDescent="0.3">
      <c r="A606" s="16" t="s">
        <v>1150</v>
      </c>
      <c r="B606" s="5" t="s">
        <v>127</v>
      </c>
      <c r="C606" s="5" t="s">
        <v>30</v>
      </c>
      <c r="D606" s="25" t="str">
        <f t="shared" si="48"/>
        <v>Item _Unknown_ ELE</v>
      </c>
      <c r="E606" s="27">
        <f t="shared" si="47"/>
        <v>11</v>
      </c>
      <c r="F606" s="6">
        <v>2</v>
      </c>
      <c r="G606" s="6">
        <v>22</v>
      </c>
      <c r="H606" s="5" t="s">
        <v>27</v>
      </c>
      <c r="I606" s="5" t="s">
        <v>16</v>
      </c>
      <c r="J606" s="40">
        <v>44875</v>
      </c>
      <c r="K606" s="29" t="b">
        <f t="shared" si="49"/>
        <v>0</v>
      </c>
      <c r="L606" s="29" t="str">
        <f t="shared" si="50"/>
        <v>No Discount</v>
      </c>
      <c r="M606" s="18" t="str">
        <f t="shared" si="51"/>
        <v>Loss</v>
      </c>
    </row>
    <row r="607" spans="1:13" ht="15.75" thickBot="1" x14ac:dyDescent="0.3">
      <c r="A607" s="17" t="s">
        <v>1151</v>
      </c>
      <c r="B607" s="11" t="s">
        <v>127</v>
      </c>
      <c r="C607" s="11" t="s">
        <v>49</v>
      </c>
      <c r="D607" s="25" t="str">
        <f t="shared" si="48"/>
        <v>Item _Unknown_ COM</v>
      </c>
      <c r="E607" s="27">
        <f t="shared" si="47"/>
        <v>36.5</v>
      </c>
      <c r="F607" s="12">
        <v>7</v>
      </c>
      <c r="G607" s="12">
        <v>255.5</v>
      </c>
      <c r="H607" s="11" t="s">
        <v>51</v>
      </c>
      <c r="I607" s="11" t="s">
        <v>39</v>
      </c>
      <c r="J607" s="41">
        <v>44997</v>
      </c>
      <c r="K607" s="29" t="b">
        <f t="shared" si="49"/>
        <v>0</v>
      </c>
      <c r="L607" s="29" t="str">
        <f t="shared" si="50"/>
        <v>No Discount</v>
      </c>
      <c r="M607" s="18" t="str">
        <f t="shared" si="51"/>
        <v>High Profit</v>
      </c>
    </row>
    <row r="608" spans="1:13" ht="30.75" thickBot="1" x14ac:dyDescent="0.3">
      <c r="A608" s="16" t="s">
        <v>1152</v>
      </c>
      <c r="B608" s="5" t="s">
        <v>130</v>
      </c>
      <c r="C608" s="5" t="s">
        <v>158</v>
      </c>
      <c r="D608" s="25" t="str">
        <f t="shared" si="48"/>
        <v>Item _Unknown_ ELE</v>
      </c>
      <c r="E608" s="27">
        <f t="shared" si="47"/>
        <v>14</v>
      </c>
      <c r="F608" s="6">
        <v>3</v>
      </c>
      <c r="G608" s="6">
        <v>42</v>
      </c>
      <c r="H608" s="5" t="s">
        <v>15</v>
      </c>
      <c r="I608" s="5" t="s">
        <v>16</v>
      </c>
      <c r="J608" s="40">
        <v>45096</v>
      </c>
      <c r="K608" s="29" t="b">
        <f t="shared" si="49"/>
        <v>0</v>
      </c>
      <c r="L608" s="29" t="str">
        <f t="shared" si="50"/>
        <v>No Discount</v>
      </c>
      <c r="M608" s="18" t="str">
        <f t="shared" si="51"/>
        <v>Loss</v>
      </c>
    </row>
    <row r="609" spans="1:13" ht="15.75" thickBot="1" x14ac:dyDescent="0.3">
      <c r="A609" s="17" t="s">
        <v>1154</v>
      </c>
      <c r="B609" s="11" t="s">
        <v>74</v>
      </c>
      <c r="C609" s="11" t="s">
        <v>30</v>
      </c>
      <c r="D609" s="25" t="str">
        <f t="shared" si="48"/>
        <v>Item _Unknown_ MIL</v>
      </c>
      <c r="E609" s="27">
        <f t="shared" si="47"/>
        <v>21.5</v>
      </c>
      <c r="F609" s="12">
        <v>8</v>
      </c>
      <c r="G609" s="12">
        <v>172</v>
      </c>
      <c r="H609" s="11" t="s">
        <v>51</v>
      </c>
      <c r="I609" s="11" t="s">
        <v>16</v>
      </c>
      <c r="J609" s="41">
        <v>44810</v>
      </c>
      <c r="K609" s="29" t="b">
        <f t="shared" si="49"/>
        <v>0</v>
      </c>
      <c r="L609" s="29" t="str">
        <f t="shared" si="50"/>
        <v>No Discount</v>
      </c>
      <c r="M609" s="18" t="str">
        <f t="shared" si="51"/>
        <v>Loss</v>
      </c>
    </row>
    <row r="610" spans="1:13" ht="15.75" thickBot="1" x14ac:dyDescent="0.3">
      <c r="A610" s="16" t="s">
        <v>1155</v>
      </c>
      <c r="B610" s="5" t="s">
        <v>206</v>
      </c>
      <c r="C610" s="5" t="s">
        <v>49</v>
      </c>
      <c r="D610" s="25" t="str">
        <f t="shared" si="48"/>
        <v>Item _Unknown_ FOO</v>
      </c>
      <c r="E610" s="27">
        <f t="shared" si="47"/>
        <v>35</v>
      </c>
      <c r="F610" s="6">
        <v>5</v>
      </c>
      <c r="G610" s="6">
        <v>175</v>
      </c>
      <c r="H610" s="5" t="s">
        <v>27</v>
      </c>
      <c r="I610" s="5" t="s">
        <v>39</v>
      </c>
      <c r="J610" s="40">
        <v>44980</v>
      </c>
      <c r="K610" s="29" t="b">
        <f t="shared" si="49"/>
        <v>0</v>
      </c>
      <c r="L610" s="29" t="str">
        <f t="shared" si="50"/>
        <v>No Discount</v>
      </c>
      <c r="M610" s="18" t="str">
        <f t="shared" si="51"/>
        <v>High Profit</v>
      </c>
    </row>
    <row r="611" spans="1:13" ht="30.75" thickBot="1" x14ac:dyDescent="0.3">
      <c r="A611" s="17" t="s">
        <v>1157</v>
      </c>
      <c r="B611" s="11" t="s">
        <v>127</v>
      </c>
      <c r="C611" s="11" t="s">
        <v>158</v>
      </c>
      <c r="D611" s="25" t="str">
        <f t="shared" si="48"/>
        <v>Item _Unknown_ BUT</v>
      </c>
      <c r="E611" s="27">
        <f t="shared" si="47"/>
        <v>29</v>
      </c>
      <c r="F611" s="12">
        <v>1</v>
      </c>
      <c r="G611" s="12">
        <v>29</v>
      </c>
      <c r="H611" s="11" t="s">
        <v>51</v>
      </c>
      <c r="I611" s="11" t="s">
        <v>16</v>
      </c>
      <c r="J611" s="41">
        <v>44906</v>
      </c>
      <c r="K611" s="29" t="b">
        <f t="shared" si="49"/>
        <v>0</v>
      </c>
      <c r="L611" s="29" t="str">
        <f t="shared" si="50"/>
        <v>No Discount</v>
      </c>
      <c r="M611" s="18" t="str">
        <f t="shared" si="51"/>
        <v>Medium</v>
      </c>
    </row>
    <row r="612" spans="1:13" ht="15.75" thickBot="1" x14ac:dyDescent="0.3">
      <c r="A612" s="16" t="s">
        <v>1158</v>
      </c>
      <c r="B612" s="5" t="s">
        <v>94</v>
      </c>
      <c r="C612" s="5" t="s">
        <v>20</v>
      </c>
      <c r="D612" s="25" t="str">
        <f t="shared" si="48"/>
        <v>Item _Unknown_ COM</v>
      </c>
      <c r="E612" s="27">
        <f t="shared" si="47"/>
        <v>32</v>
      </c>
      <c r="F612" s="6">
        <v>10</v>
      </c>
      <c r="G612" s="6">
        <v>320</v>
      </c>
      <c r="H612" s="5" t="s">
        <v>51</v>
      </c>
      <c r="I612" s="5" t="s">
        <v>16</v>
      </c>
      <c r="J612" s="40">
        <v>45451</v>
      </c>
      <c r="K612" s="29" t="b">
        <f t="shared" si="49"/>
        <v>0</v>
      </c>
      <c r="L612" s="29" t="str">
        <f t="shared" si="50"/>
        <v>No Discount</v>
      </c>
      <c r="M612" s="18" t="str">
        <f t="shared" si="51"/>
        <v>Medium</v>
      </c>
    </row>
    <row r="613" spans="1:13" ht="15.75" thickBot="1" x14ac:dyDescent="0.3">
      <c r="A613" s="17" t="s">
        <v>1159</v>
      </c>
      <c r="B613" s="11" t="s">
        <v>120</v>
      </c>
      <c r="C613" s="11" t="s">
        <v>42</v>
      </c>
      <c r="D613" s="25" t="str">
        <f t="shared" si="48"/>
        <v>Item _Unknown_ FOO</v>
      </c>
      <c r="E613" s="27">
        <f t="shared" si="47"/>
        <v>15.5</v>
      </c>
      <c r="F613" s="12">
        <v>9</v>
      </c>
      <c r="G613" s="12">
        <v>139.5</v>
      </c>
      <c r="H613" s="11" t="s">
        <v>51</v>
      </c>
      <c r="I613" s="11" t="s">
        <v>39</v>
      </c>
      <c r="J613" s="41">
        <v>44689</v>
      </c>
      <c r="K613" s="29" t="b">
        <f t="shared" si="49"/>
        <v>0</v>
      </c>
      <c r="L613" s="29" t="str">
        <f t="shared" si="50"/>
        <v>No Discount</v>
      </c>
      <c r="M613" s="18" t="str">
        <f t="shared" si="51"/>
        <v>Loss</v>
      </c>
    </row>
    <row r="614" spans="1:13" ht="15.75" thickBot="1" x14ac:dyDescent="0.3">
      <c r="A614" s="16" t="s">
        <v>1160</v>
      </c>
      <c r="B614" s="5" t="s">
        <v>117</v>
      </c>
      <c r="C614" s="5" t="s">
        <v>25</v>
      </c>
      <c r="D614" s="25" t="str">
        <f t="shared" si="48"/>
        <v>Item _Unknown_ BUT</v>
      </c>
      <c r="E614" s="27">
        <f t="shared" ref="E614:E618" si="52">G614/F614</f>
        <v>39.5</v>
      </c>
      <c r="F614" s="6">
        <v>4</v>
      </c>
      <c r="G614" s="6">
        <v>158</v>
      </c>
      <c r="H614" s="5" t="s">
        <v>51</v>
      </c>
      <c r="I614" s="5" t="s">
        <v>39</v>
      </c>
      <c r="J614" s="40">
        <v>45634</v>
      </c>
      <c r="K614" s="29" t="b">
        <f t="shared" si="49"/>
        <v>0</v>
      </c>
      <c r="L614" s="29" t="str">
        <f t="shared" si="50"/>
        <v>No Discount</v>
      </c>
      <c r="M614" s="18" t="str">
        <f t="shared" si="51"/>
        <v>High Profit</v>
      </c>
    </row>
    <row r="615" spans="1:13" ht="15.75" thickBot="1" x14ac:dyDescent="0.3">
      <c r="A615" s="17" t="s">
        <v>1161</v>
      </c>
      <c r="B615" s="11" t="s">
        <v>117</v>
      </c>
      <c r="C615" s="11" t="s">
        <v>25</v>
      </c>
      <c r="D615" s="25" t="str">
        <f t="shared" si="48"/>
        <v>Item _Unknown_ COM</v>
      </c>
      <c r="E615" s="27">
        <f t="shared" si="52"/>
        <v>26</v>
      </c>
      <c r="F615" s="12">
        <v>1</v>
      </c>
      <c r="G615" s="12">
        <v>26</v>
      </c>
      <c r="H615" s="11" t="s">
        <v>27</v>
      </c>
      <c r="I615" s="11" t="s">
        <v>39</v>
      </c>
      <c r="J615" s="41">
        <v>44813</v>
      </c>
      <c r="K615" s="29" t="b">
        <f t="shared" si="49"/>
        <v>0</v>
      </c>
      <c r="L615" s="29" t="str">
        <f t="shared" si="50"/>
        <v>No Discount</v>
      </c>
      <c r="M615" s="18" t="str">
        <f t="shared" si="51"/>
        <v>Medium</v>
      </c>
    </row>
    <row r="616" spans="1:13" ht="15.75" thickBot="1" x14ac:dyDescent="0.3">
      <c r="A616" s="16" t="s">
        <v>1163</v>
      </c>
      <c r="B616" s="5" t="s">
        <v>86</v>
      </c>
      <c r="C616" s="5" t="s">
        <v>20</v>
      </c>
      <c r="D616" s="25" t="str">
        <f t="shared" ref="D616:D618" si="53">"Item _Unknown_ "&amp;UPPER(LEFT(C612,3))</f>
        <v>Item _Unknown_ MIL</v>
      </c>
      <c r="E616" s="27">
        <f t="shared" si="52"/>
        <v>23</v>
      </c>
      <c r="F616" s="6">
        <v>9</v>
      </c>
      <c r="G616" s="6">
        <v>207</v>
      </c>
      <c r="H616" s="5" t="s">
        <v>15</v>
      </c>
      <c r="I616" s="5" t="s">
        <v>39</v>
      </c>
      <c r="J616" s="40">
        <v>45587</v>
      </c>
      <c r="K616" s="29" t="b">
        <f t="shared" si="49"/>
        <v>0</v>
      </c>
      <c r="L616" s="29" t="str">
        <f t="shared" si="50"/>
        <v>No Discount</v>
      </c>
      <c r="M616" s="18" t="str">
        <f t="shared" si="51"/>
        <v>Loss</v>
      </c>
    </row>
    <row r="617" spans="1:13" ht="15.75" thickBot="1" x14ac:dyDescent="0.3">
      <c r="A617" s="17" t="s">
        <v>1165</v>
      </c>
      <c r="B617" s="11" t="s">
        <v>149</v>
      </c>
      <c r="C617" s="11" t="s">
        <v>42</v>
      </c>
      <c r="D617" s="25" t="str">
        <f t="shared" si="53"/>
        <v>Item _Unknown_ FUR</v>
      </c>
      <c r="E617" s="27">
        <f t="shared" si="52"/>
        <v>35</v>
      </c>
      <c r="F617" s="12">
        <v>2</v>
      </c>
      <c r="G617" s="12">
        <v>70</v>
      </c>
      <c r="H617" s="11" t="s">
        <v>15</v>
      </c>
      <c r="I617" s="11" t="s">
        <v>39</v>
      </c>
      <c r="J617" s="41">
        <v>45189</v>
      </c>
      <c r="K617" s="29" t="b">
        <f t="shared" si="49"/>
        <v>0</v>
      </c>
      <c r="L617" s="29" t="str">
        <f t="shared" si="50"/>
        <v>No Discount</v>
      </c>
      <c r="M617" s="18" t="str">
        <f t="shared" si="51"/>
        <v>High Profit</v>
      </c>
    </row>
    <row r="618" spans="1:13" ht="30.75" thickBot="1" x14ac:dyDescent="0.3">
      <c r="A618" s="22" t="s">
        <v>1167</v>
      </c>
      <c r="B618" s="23" t="s">
        <v>99</v>
      </c>
      <c r="C618" s="23" t="s">
        <v>158</v>
      </c>
      <c r="D618" s="25" t="str">
        <f t="shared" si="53"/>
        <v>Item _Unknown_ BEV</v>
      </c>
      <c r="E618" s="27">
        <f t="shared" si="52"/>
        <v>20</v>
      </c>
      <c r="F618" s="24">
        <v>6</v>
      </c>
      <c r="G618" s="24">
        <v>120</v>
      </c>
      <c r="H618" s="23" t="s">
        <v>27</v>
      </c>
      <c r="I618" s="23" t="s">
        <v>16</v>
      </c>
      <c r="J618" s="42">
        <v>44769</v>
      </c>
      <c r="K618" s="29" t="b">
        <f t="shared" si="49"/>
        <v>0</v>
      </c>
      <c r="L618" s="29" t="str">
        <f t="shared" si="50"/>
        <v>No Discount</v>
      </c>
      <c r="M618" s="18" t="str">
        <f t="shared" si="51"/>
        <v>Loss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0C69E-4DC9-42F8-A1D3-B1A4C1A2245F}">
  <dimension ref="A1:B9"/>
  <sheetViews>
    <sheetView workbookViewId="0">
      <selection activeCell="B14" sqref="B14"/>
    </sheetView>
  </sheetViews>
  <sheetFormatPr defaultRowHeight="15" x14ac:dyDescent="0.25"/>
  <cols>
    <col min="1" max="1" width="21" bestFit="1" customWidth="1"/>
    <col min="2" max="2" width="17.85546875" bestFit="1" customWidth="1"/>
    <col min="3" max="13" width="21.42578125" bestFit="1" customWidth="1"/>
    <col min="14" max="15" width="11.28515625" bestFit="1" customWidth="1"/>
  </cols>
  <sheetData>
    <row r="1" spans="1:2" x14ac:dyDescent="0.25">
      <c r="A1" s="38" t="s">
        <v>10</v>
      </c>
      <c r="B1" t="s">
        <v>1182</v>
      </c>
    </row>
    <row r="3" spans="1:2" x14ac:dyDescent="0.25">
      <c r="A3" s="38" t="s">
        <v>1178</v>
      </c>
      <c r="B3" t="s">
        <v>1183</v>
      </c>
    </row>
    <row r="4" spans="1:2" x14ac:dyDescent="0.25">
      <c r="A4" s="39" t="s">
        <v>1185</v>
      </c>
      <c r="B4">
        <v>3097.5</v>
      </c>
    </row>
    <row r="5" spans="1:2" x14ac:dyDescent="0.25">
      <c r="A5" s="39" t="s">
        <v>1186</v>
      </c>
      <c r="B5">
        <v>3606</v>
      </c>
    </row>
    <row r="6" spans="1:2" x14ac:dyDescent="0.25">
      <c r="A6" s="39" t="s">
        <v>1187</v>
      </c>
      <c r="B6">
        <v>3619.5</v>
      </c>
    </row>
    <row r="7" spans="1:2" x14ac:dyDescent="0.25">
      <c r="A7" s="39" t="s">
        <v>1188</v>
      </c>
      <c r="B7">
        <v>4103</v>
      </c>
    </row>
    <row r="8" spans="1:2" x14ac:dyDescent="0.25">
      <c r="A8" s="39" t="s">
        <v>1189</v>
      </c>
      <c r="B8">
        <v>3972.5</v>
      </c>
    </row>
    <row r="9" spans="1:2" x14ac:dyDescent="0.25">
      <c r="A9" s="39" t="s">
        <v>1179</v>
      </c>
      <c r="B9">
        <v>18398.5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FAEA3-B075-48F4-9FA7-3A347216AA9A}">
  <dimension ref="A3:E7"/>
  <sheetViews>
    <sheetView tabSelected="1" workbookViewId="0">
      <selection activeCell="A2" sqref="A1:A2"/>
    </sheetView>
  </sheetViews>
  <sheetFormatPr defaultRowHeight="15" x14ac:dyDescent="0.25"/>
  <cols>
    <col min="1" max="1" width="17.85546875" bestFit="1" customWidth="1"/>
    <col min="2" max="2" width="16.28515625" bestFit="1" customWidth="1"/>
    <col min="3" max="3" width="10.85546875" bestFit="1" customWidth="1"/>
    <col min="4" max="4" width="13.28515625" bestFit="1" customWidth="1"/>
    <col min="5" max="5" width="11.28515625" bestFit="1" customWidth="1"/>
  </cols>
  <sheetData>
    <row r="3" spans="1:5" x14ac:dyDescent="0.25">
      <c r="A3" s="38" t="s">
        <v>1183</v>
      </c>
      <c r="B3" s="38" t="s">
        <v>1184</v>
      </c>
    </row>
    <row r="4" spans="1:5" x14ac:dyDescent="0.25">
      <c r="A4" s="38" t="s">
        <v>1178</v>
      </c>
      <c r="B4" t="s">
        <v>51</v>
      </c>
      <c r="C4" t="s">
        <v>27</v>
      </c>
      <c r="D4" t="s">
        <v>15</v>
      </c>
      <c r="E4" t="s">
        <v>1179</v>
      </c>
    </row>
    <row r="5" spans="1:5" x14ac:dyDescent="0.25">
      <c r="A5" s="39" t="s">
        <v>39</v>
      </c>
      <c r="B5">
        <v>11208.5</v>
      </c>
      <c r="C5">
        <v>12610.5</v>
      </c>
      <c r="D5">
        <v>14160.5</v>
      </c>
      <c r="E5">
        <v>37979.5</v>
      </c>
    </row>
    <row r="6" spans="1:5" x14ac:dyDescent="0.25">
      <c r="A6" s="39" t="s">
        <v>16</v>
      </c>
      <c r="B6">
        <v>14976</v>
      </c>
      <c r="C6">
        <v>12704.5</v>
      </c>
      <c r="D6">
        <v>13027</v>
      </c>
      <c r="E6">
        <v>40707.5</v>
      </c>
    </row>
    <row r="7" spans="1:5" x14ac:dyDescent="0.25">
      <c r="A7" s="39" t="s">
        <v>1179</v>
      </c>
      <c r="B7">
        <v>26184.5</v>
      </c>
      <c r="C7">
        <v>25315</v>
      </c>
      <c r="D7">
        <v>27187.5</v>
      </c>
      <c r="E7">
        <v>78687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10F2-0547-4F7B-A947-3B5FDF8B812C}">
  <dimension ref="A3:B7"/>
  <sheetViews>
    <sheetView workbookViewId="0">
      <selection activeCell="B10" sqref="B10"/>
    </sheetView>
  </sheetViews>
  <sheetFormatPr defaultRowHeight="15" x14ac:dyDescent="0.25"/>
  <cols>
    <col min="1" max="1" width="13.140625" bestFit="1" customWidth="1"/>
    <col min="2" max="2" width="17.85546875" bestFit="1" customWidth="1"/>
  </cols>
  <sheetData>
    <row r="3" spans="1:2" x14ac:dyDescent="0.25">
      <c r="A3" s="38" t="s">
        <v>1178</v>
      </c>
      <c r="B3" t="s">
        <v>1183</v>
      </c>
    </row>
    <row r="4" spans="1:2" x14ac:dyDescent="0.25">
      <c r="A4" s="39" t="s">
        <v>1180</v>
      </c>
      <c r="B4">
        <v>23547</v>
      </c>
    </row>
    <row r="5" spans="1:2" x14ac:dyDescent="0.25">
      <c r="A5" s="39" t="s">
        <v>1181</v>
      </c>
      <c r="B5">
        <v>26748</v>
      </c>
    </row>
    <row r="6" spans="1:2" x14ac:dyDescent="0.25">
      <c r="A6" s="39" t="s">
        <v>1182</v>
      </c>
      <c r="B6">
        <v>28392</v>
      </c>
    </row>
    <row r="7" spans="1:2" x14ac:dyDescent="0.25">
      <c r="A7" s="39" t="s">
        <v>1179</v>
      </c>
      <c r="B7">
        <v>78687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Top 5 Loss</vt:lpstr>
      <vt:lpstr>Payment Method</vt:lpstr>
      <vt:lpstr>Total Spent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jothi mani</dc:creator>
  <cp:lastModifiedBy>jothi mani</cp:lastModifiedBy>
  <dcterms:created xsi:type="dcterms:W3CDTF">2026-06-18T21:35:15Z</dcterms:created>
  <dcterms:modified xsi:type="dcterms:W3CDTF">2026-06-20T12:51:45Z</dcterms:modified>
</cp:coreProperties>
</file>